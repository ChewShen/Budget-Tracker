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911ABD643558B20F/Desktop/Documents/"/>
    </mc:Choice>
  </mc:AlternateContent>
  <xr:revisionPtr revIDLastSave="592" documentId="8_{F152663B-454D-42A9-9503-2713D78DE359}" xr6:coauthVersionLast="47" xr6:coauthVersionMax="47" xr10:uidLastSave="{FB5DD9A1-014D-4C6F-B812-27F1B91C989C}"/>
  <bookViews>
    <workbookView xWindow="-120" yWindow="-120" windowWidth="29040" windowHeight="16440" xr2:uid="{0F7F3757-D4C5-4694-8683-A6984AFCF464}"/>
  </bookViews>
  <sheets>
    <sheet name="Dashboard" sheetId="3" r:id="rId1"/>
    <sheet name="Savings" sheetId="8" r:id="rId2"/>
    <sheet name="Transaction" sheetId="1" r:id="rId3"/>
    <sheet name="Lookup" sheetId="2" r:id="rId4"/>
  </sheets>
  <definedNames>
    <definedName name="Entertainment">Lookup!$I$2:$I$5</definedName>
    <definedName name="Food">Lookup!$B$2:$B$9</definedName>
    <definedName name="Health">Lookup!$G$2:$G$5</definedName>
    <definedName name="Home_Bills">Lookup!$D$2:$D$7</definedName>
    <definedName name="Main_Category">Lookup!$A$2:$A$11</definedName>
    <definedName name="NativeTimeline_Date">#N/A</definedName>
    <definedName name="Others">Lookup!$K$2:$K$4</definedName>
    <definedName name="Own_Interest">Lookup!$H$2:$H$5</definedName>
    <definedName name="Self_care">Lookup!$E$2:$E$6</definedName>
    <definedName name="Shopping">Lookup!$J$2:$J$5</definedName>
    <definedName name="Slicer_Category">#N/A</definedName>
    <definedName name="Slicer_Day">#N/A</definedName>
    <definedName name="Subscription">Lookup!$F$2:$F$5</definedName>
    <definedName name="Transport">Lookup!$C$2:$C$6</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7" i="3" l="1"/>
  <c r="N26" i="3"/>
  <c r="H5" i="3"/>
  <c r="H6" i="3" s="1"/>
  <c r="O16" i="3"/>
  <c r="O15" i="3"/>
  <c r="O14" i="3"/>
  <c r="O13" i="3"/>
  <c r="O12" i="3"/>
  <c r="O11" i="3"/>
  <c r="O10" i="3"/>
  <c r="O9" i="3"/>
  <c r="B130" i="1"/>
  <c r="E10" i="3"/>
  <c r="H2" i="8"/>
  <c r="H3" i="8"/>
  <c r="H4" i="8"/>
  <c r="H5" i="8"/>
  <c r="H6" i="8"/>
  <c r="H13" i="3"/>
  <c r="B13" i="3"/>
  <c r="E13" i="3" s="1"/>
  <c r="K5" i="3"/>
  <c r="K6" i="3" s="1"/>
  <c r="E5" i="3"/>
  <c r="B5" i="3"/>
  <c r="B173" i="1"/>
  <c r="B171" i="1"/>
  <c r="B172" i="1"/>
  <c r="B170" i="1"/>
  <c r="B168" i="1"/>
  <c r="B169" i="1"/>
  <c r="B167" i="1"/>
  <c r="B164" i="1"/>
  <c r="B165" i="1"/>
  <c r="B166" i="1"/>
  <c r="B163" i="1"/>
  <c r="B162" i="1"/>
  <c r="B161" i="1"/>
  <c r="B160" i="1"/>
  <c r="B159" i="1"/>
  <c r="B158" i="1"/>
  <c r="B157" i="1"/>
  <c r="B156" i="1"/>
  <c r="B152" i="1"/>
  <c r="B153" i="1"/>
  <c r="B154" i="1"/>
  <c r="B155" i="1"/>
  <c r="B151" i="1"/>
  <c r="B145" i="1"/>
  <c r="B146" i="1"/>
  <c r="B147" i="1"/>
  <c r="B148" i="1"/>
  <c r="B149" i="1"/>
  <c r="B150" i="1"/>
  <c r="B144" i="1"/>
  <c r="B142" i="1"/>
  <c r="B143" i="1"/>
  <c r="B141" i="1"/>
  <c r="B140" i="1"/>
  <c r="B139" i="1"/>
  <c r="B138" i="1"/>
  <c r="B137" i="1"/>
  <c r="B135" i="1"/>
  <c r="B136" i="1"/>
  <c r="B134" i="1"/>
  <c r="B132" i="1"/>
  <c r="B133" i="1"/>
  <c r="B131" i="1"/>
  <c r="B126" i="1"/>
  <c r="B127" i="1"/>
  <c r="B128" i="1"/>
  <c r="B129" i="1"/>
  <c r="B125" i="1"/>
  <c r="B124" i="1"/>
  <c r="B123" i="1"/>
  <c r="B119" i="1"/>
  <c r="B120" i="1"/>
  <c r="B121" i="1"/>
  <c r="B122" i="1"/>
  <c r="B118" i="1"/>
  <c r="B116" i="1"/>
  <c r="B117" i="1"/>
  <c r="B115" i="1"/>
  <c r="B113" i="1"/>
  <c r="B114" i="1"/>
  <c r="B112" i="1"/>
  <c r="B108" i="1"/>
  <c r="B109" i="1"/>
  <c r="B110" i="1"/>
  <c r="B111" i="1"/>
  <c r="B107" i="1"/>
  <c r="B106" i="1"/>
  <c r="I6" i="8"/>
  <c r="J6" i="8"/>
  <c r="I4" i="8"/>
  <c r="I5" i="8"/>
  <c r="J4" i="8"/>
  <c r="J5" i="8"/>
  <c r="I2" i="8"/>
  <c r="I3" i="8"/>
  <c r="J2" i="8"/>
  <c r="J3" i="8"/>
  <c r="B4" i="1"/>
  <c r="B2" i="1"/>
  <c r="B23" i="1"/>
  <c r="B89" i="1"/>
  <c r="B88" i="1"/>
  <c r="B102" i="1"/>
  <c r="B103" i="1"/>
  <c r="B104" i="1"/>
  <c r="B105" i="1"/>
  <c r="B101" i="1"/>
  <c r="B99" i="1"/>
  <c r="B100" i="1"/>
  <c r="B98" i="1"/>
  <c r="B95" i="1"/>
  <c r="B96" i="1"/>
  <c r="B97" i="1"/>
  <c r="B94" i="1"/>
  <c r="B93" i="1"/>
  <c r="B92" i="1"/>
  <c r="B91" i="1"/>
  <c r="B90" i="1"/>
  <c r="B87" i="1"/>
  <c r="B86" i="1"/>
  <c r="B85" i="1"/>
  <c r="B82" i="1"/>
  <c r="B83" i="1"/>
  <c r="B84" i="1"/>
  <c r="B81" i="1"/>
  <c r="B78" i="1"/>
  <c r="B79" i="1"/>
  <c r="B80" i="1"/>
  <c r="B77" i="1"/>
  <c r="B74" i="1"/>
  <c r="B75" i="1"/>
  <c r="B76" i="1"/>
  <c r="B73" i="1"/>
  <c r="B72" i="1"/>
  <c r="B69" i="1"/>
  <c r="B70" i="1"/>
  <c r="B71" i="1"/>
  <c r="B68" i="1"/>
  <c r="B64" i="1"/>
  <c r="B65" i="1"/>
  <c r="B66" i="1"/>
  <c r="B67" i="1"/>
  <c r="B63" i="1"/>
  <c r="B62" i="1"/>
  <c r="B59" i="1"/>
  <c r="B60" i="1"/>
  <c r="B61" i="1"/>
  <c r="B58" i="1"/>
  <c r="B57" i="1"/>
  <c r="B56" i="1"/>
  <c r="B54" i="1"/>
  <c r="B55" i="1"/>
  <c r="B53" i="1"/>
  <c r="B52" i="1"/>
  <c r="B51" i="1"/>
  <c r="B50" i="1"/>
  <c r="B49" i="1"/>
  <c r="B48" i="1"/>
  <c r="B47" i="1"/>
  <c r="B43" i="1"/>
  <c r="B44" i="1"/>
  <c r="B45" i="1"/>
  <c r="B46" i="1"/>
  <c r="B42" i="1"/>
  <c r="B40" i="1"/>
  <c r="B41" i="1"/>
  <c r="B39" i="1"/>
  <c r="B38" i="1"/>
  <c r="B37" i="1"/>
  <c r="B35" i="1"/>
  <c r="B36" i="1"/>
  <c r="B34" i="1"/>
  <c r="B33" i="1"/>
  <c r="B32" i="1"/>
  <c r="B31" i="1"/>
  <c r="B28" i="1"/>
  <c r="B29" i="1"/>
  <c r="B30" i="1"/>
  <c r="B27" i="1"/>
  <c r="B25" i="1"/>
  <c r="B26" i="1"/>
  <c r="B24" i="1"/>
  <c r="B18" i="1"/>
  <c r="B19" i="1"/>
  <c r="B20" i="1"/>
  <c r="B21" i="1"/>
  <c r="B22" i="1"/>
  <c r="B17" i="1"/>
  <c r="B16" i="1"/>
  <c r="B14" i="1"/>
  <c r="B15" i="1"/>
  <c r="B13" i="1"/>
  <c r="B3" i="1"/>
  <c r="B5" i="1"/>
  <c r="B6" i="1"/>
  <c r="B7" i="1"/>
  <c r="B8" i="1"/>
  <c r="B9" i="1"/>
  <c r="B10" i="1"/>
  <c r="B11" i="1"/>
  <c r="B12" i="1"/>
  <c r="H10" i="3" l="1"/>
  <c r="K16" i="3" s="1"/>
  <c r="K10" i="3" l="1"/>
</calcChain>
</file>

<file path=xl/sharedStrings.xml><?xml version="1.0" encoding="utf-8"?>
<sst xmlns="http://schemas.openxmlformats.org/spreadsheetml/2006/main" count="492" uniqueCount="87">
  <si>
    <t>Date</t>
  </si>
  <si>
    <t>Tags</t>
  </si>
  <si>
    <t>Dinner</t>
  </si>
  <si>
    <t>Breakfast</t>
  </si>
  <si>
    <t>Lunch</t>
  </si>
  <si>
    <t>Description</t>
  </si>
  <si>
    <t>Amount (RM)</t>
  </si>
  <si>
    <t>Main Category</t>
  </si>
  <si>
    <t>Transport</t>
  </si>
  <si>
    <t>Self_care</t>
  </si>
  <si>
    <t>Health</t>
  </si>
  <si>
    <t>Own_Interest</t>
  </si>
  <si>
    <t>Entertainment</t>
  </si>
  <si>
    <t>Shopping</t>
  </si>
  <si>
    <t>Others</t>
  </si>
  <si>
    <t>Petrol</t>
  </si>
  <si>
    <t>Toll</t>
  </si>
  <si>
    <t>Parking</t>
  </si>
  <si>
    <t>Public Trans</t>
  </si>
  <si>
    <t>Water</t>
  </si>
  <si>
    <t>Electric</t>
  </si>
  <si>
    <t>Cuckoo</t>
  </si>
  <si>
    <t>Food</t>
  </si>
  <si>
    <t>Category</t>
  </si>
  <si>
    <t>Brunch</t>
  </si>
  <si>
    <t>Home_Bills</t>
  </si>
  <si>
    <t>Morning Coffee</t>
  </si>
  <si>
    <t>Day</t>
  </si>
  <si>
    <t>Grand Total</t>
  </si>
  <si>
    <t>Sum of Amount (RM)</t>
  </si>
  <si>
    <t>Snack</t>
  </si>
  <si>
    <t>Haircut</t>
  </si>
  <si>
    <t>Photo</t>
  </si>
  <si>
    <t>Guitar Class</t>
  </si>
  <si>
    <t>Movie</t>
  </si>
  <si>
    <t>iCloud</t>
  </si>
  <si>
    <t>Netflix</t>
  </si>
  <si>
    <t>Youtube Premium</t>
  </si>
  <si>
    <t>Hospital</t>
  </si>
  <si>
    <t>Clinic</t>
  </si>
  <si>
    <t>Accessories</t>
  </si>
  <si>
    <t>For next day (Aug 10)</t>
  </si>
  <si>
    <t>Supper</t>
  </si>
  <si>
    <t>For next 2 day</t>
  </si>
  <si>
    <t>Indah Water</t>
  </si>
  <si>
    <t>Drugs</t>
  </si>
  <si>
    <t>Breakfast &amp; Lunch</t>
  </si>
  <si>
    <t>Groceries</t>
  </si>
  <si>
    <t>Youtube Membership</t>
  </si>
  <si>
    <t>Jaya Grocer + Mr.diy</t>
  </si>
  <si>
    <t>TOTAL SPEND</t>
  </si>
  <si>
    <t>FOOD &amp; DINING</t>
  </si>
  <si>
    <t>Largest Expense</t>
  </si>
  <si>
    <t>Month</t>
  </si>
  <si>
    <t>Total Liquid Savings (RM)</t>
  </si>
  <si>
    <t>GXBank (RM)</t>
  </si>
  <si>
    <t>GX Rate (%)</t>
  </si>
  <si>
    <t>RYT Bank (RM)</t>
  </si>
  <si>
    <t>Ryt Rate (%)</t>
  </si>
  <si>
    <t>Est. Monthly Interest (RM)</t>
  </si>
  <si>
    <t>Main Checking (RM)</t>
  </si>
  <si>
    <t>GX bank Earn for the Month</t>
  </si>
  <si>
    <t>TOTAL LIQUID ASSETS</t>
  </si>
  <si>
    <t>DAILY AVERAGE</t>
  </si>
  <si>
    <t>NET SALARY</t>
  </si>
  <si>
    <t>GROSS SALARY</t>
  </si>
  <si>
    <t>SAVINGS RATE (%)</t>
  </si>
  <si>
    <t>EST. INTEREST</t>
  </si>
  <si>
    <t>MONTHLY GROWTH</t>
  </si>
  <si>
    <t>Net Cash Saved</t>
  </si>
  <si>
    <t>car wiper</t>
  </si>
  <si>
    <t>nfc tag</t>
  </si>
  <si>
    <t>guitar strap</t>
  </si>
  <si>
    <t>hydrogen peroxide</t>
  </si>
  <si>
    <t>baking soda</t>
  </si>
  <si>
    <t>Brush</t>
  </si>
  <si>
    <t>Product</t>
  </si>
  <si>
    <t>Months</t>
  </si>
  <si>
    <t>EPF / Other - locked (RM)</t>
  </si>
  <si>
    <t>Season Parking</t>
  </si>
  <si>
    <t>EPF rate</t>
  </si>
  <si>
    <t>SOCSO</t>
  </si>
  <si>
    <t>EIS</t>
  </si>
  <si>
    <t>Subscription</t>
  </si>
  <si>
    <t>UNTRACKED (RM)</t>
  </si>
  <si>
    <t>One-off?</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</si>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</sst>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RM&quot;* #,##0.00_-;\-&quot;RM&quot;* #,##0.00_-;_-&quot;RM&quot;* &quot;-&quot;??_-;_-@_-"/>
    <numFmt numFmtId="164" formatCode="&quot;RM&quot;#,##0.00"/>
    <numFmt numFmtId="165" formatCode="0.0%"/>
    <numFmt numFmtId="166" formatCode="dd\-mmm\-yy"/>
  </numFmts>
  <fonts count="11">
    <font>
      <sz val="11"/>
      <color theme="1"/>
      <name val="Aptos Narrow"/>
      <family val="2"/>
      <scheme val="minor"/>
    </font>
    <font>
      <b/>
      <sz val="14"/>
      <color theme="1"/>
      <name val="Arial"/>
      <family val="2"/>
    </font>
    <font>
      <sz val="11"/>
      <color theme="1"/>
      <name val="Arial"/>
      <family val="2"/>
    </font>
    <font>
      <sz val="8"/>
      <name val="Aptos Narrow"/>
      <family val="2"/>
      <scheme val="minor"/>
    </font>
    <font>
      <b/>
      <sz val="11"/>
      <color theme="1"/>
      <name val="Arial"/>
      <family val="2"/>
    </font>
    <font>
      <b/>
      <sz val="12"/>
      <color theme="1"/>
      <name val="Aptos Narrow"/>
      <family val="2"/>
      <scheme val="minor"/>
    </font>
    <font>
      <b/>
      <sz val="14"/>
      <color theme="1"/>
      <name val="Aptos Narrow"/>
      <family val="2"/>
      <scheme val="minor"/>
    </font>
    <font>
      <sz val="14"/>
      <color theme="1"/>
      <name val="Aptos Narrow"/>
      <family val="2"/>
      <scheme val="minor"/>
    </font>
    <font>
      <sz val="12"/>
      <color theme="1"/>
      <name val="Arial Unicode MS"/>
    </font>
    <font>
      <sz val="11"/>
      <color theme="1"/>
      <name val="Aptos Narrow"/>
      <family val="2"/>
      <scheme val="minor"/>
    </font>
    <font>
      <b/>
      <sz val="11"/>
      <color theme="1"/>
      <name val="Aptos Narrow"/>
      <family val="2"/>
      <scheme val="minor"/>
    </font>
  </fonts>
  <fills count="8">
    <fill>
      <patternFill patternType="none"/>
    </fill>
    <fill>
      <patternFill patternType="gray125"/>
    </fill>
    <fill>
      <patternFill patternType="solid">
        <fgColor theme="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1" tint="4.9989318521683403E-2"/>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rgb="FFC4C7C5"/>
      </left>
      <right style="medium">
        <color rgb="FFC4C7C5"/>
      </right>
      <top/>
      <bottom style="medium">
        <color rgb="FFC4C7C5"/>
      </bottom>
      <diagonal/>
    </border>
  </borders>
  <cellStyleXfs count="2">
    <xf numFmtId="0" fontId="0" fillId="0" borderId="0"/>
    <xf numFmtId="9" fontId="9" fillId="0" borderId="0" applyFont="0" applyFill="0" applyBorder="0" applyAlignment="0" applyProtection="0"/>
  </cellStyleXfs>
  <cellXfs count="71">
    <xf numFmtId="0" fontId="0" fillId="0" borderId="0" xfId="0"/>
    <xf numFmtId="0" fontId="1" fillId="0" borderId="0" xfId="0" applyFont="1" applyAlignment="1">
      <alignment horizontal="center"/>
    </xf>
    <xf numFmtId="14" fontId="2" fillId="0" borderId="0" xfId="0" applyNumberFormat="1" applyFont="1" applyAlignment="1">
      <alignment horizontal="left"/>
    </xf>
    <xf numFmtId="2" fontId="0" fillId="0" borderId="0" xfId="0" applyNumberFormat="1"/>
    <xf numFmtId="0" fontId="2" fillId="0" borderId="0" xfId="0" applyFont="1" applyAlignment="1">
      <alignment horizontal="left"/>
    </xf>
    <xf numFmtId="2" fontId="2" fillId="0" borderId="0" xfId="0" applyNumberFormat="1" applyFont="1" applyAlignment="1">
      <alignment horizontal="right"/>
    </xf>
    <xf numFmtId="0" fontId="0" fillId="0" borderId="0" xfId="0"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2" xfId="0" applyBorder="1"/>
    <xf numFmtId="0" fontId="0" fillId="0" borderId="11" xfId="0" applyBorder="1"/>
    <xf numFmtId="2" fontId="0" fillId="0" borderId="10" xfId="0" applyNumberFormat="1" applyBorder="1"/>
    <xf numFmtId="2" fontId="0" fillId="0" borderId="11" xfId="0" applyNumberFormat="1" applyBorder="1"/>
    <xf numFmtId="0" fontId="0" fillId="0" borderId="1" xfId="0" pivotButton="1" applyBorder="1"/>
    <xf numFmtId="0" fontId="0" fillId="0" borderId="10" xfId="0" applyBorder="1"/>
    <xf numFmtId="0" fontId="0" fillId="0" borderId="14" xfId="0" applyBorder="1"/>
    <xf numFmtId="0" fontId="0" fillId="0" borderId="13" xfId="0" applyBorder="1"/>
    <xf numFmtId="17" fontId="0" fillId="0" borderId="0" xfId="0" applyNumberFormat="1"/>
    <xf numFmtId="0" fontId="4" fillId="0" borderId="15" xfId="0" applyFont="1" applyBorder="1" applyAlignment="1">
      <alignment horizontal="center" vertical="center" wrapText="1"/>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xf numFmtId="2" fontId="0" fillId="3" borderId="0" xfId="0" applyNumberFormat="1" applyFill="1"/>
    <xf numFmtId="0" fontId="0" fillId="3" borderId="6" xfId="0" applyFill="1" applyBorder="1"/>
    <xf numFmtId="0" fontId="0" fillId="0" borderId="1" xfId="0" applyBorder="1" applyAlignment="1">
      <alignment wrapText="1"/>
    </xf>
    <xf numFmtId="0" fontId="6" fillId="2" borderId="10" xfId="0" applyFont="1" applyFill="1" applyBorder="1" applyAlignment="1">
      <alignment horizontal="center"/>
    </xf>
    <xf numFmtId="0" fontId="5" fillId="2" borderId="0" xfId="0" applyFont="1" applyFill="1" applyAlignment="1">
      <alignment horizontal="center"/>
    </xf>
    <xf numFmtId="0" fontId="6" fillId="2" borderId="0" xfId="0" applyFont="1" applyFill="1" applyAlignment="1">
      <alignment horizontal="center"/>
    </xf>
    <xf numFmtId="164" fontId="7" fillId="4" borderId="11" xfId="0" applyNumberFormat="1" applyFont="1" applyFill="1" applyBorder="1" applyAlignment="1">
      <alignment horizontal="center"/>
    </xf>
    <xf numFmtId="164" fontId="8" fillId="4" borderId="11" xfId="0" applyNumberFormat="1" applyFont="1" applyFill="1" applyBorder="1" applyAlignment="1">
      <alignment horizontal="center"/>
    </xf>
    <xf numFmtId="164" fontId="0" fillId="0" borderId="0" xfId="0" applyNumberFormat="1"/>
    <xf numFmtId="0" fontId="10" fillId="0" borderId="0" xfId="0" applyFont="1"/>
    <xf numFmtId="0" fontId="0" fillId="0" borderId="12" xfId="0" applyBorder="1" applyAlignment="1">
      <alignment horizontal="center"/>
    </xf>
    <xf numFmtId="165" fontId="0" fillId="0" borderId="0" xfId="1" applyNumberFormat="1" applyFont="1"/>
    <xf numFmtId="44" fontId="0" fillId="0" borderId="0" xfId="0" applyNumberFormat="1"/>
    <xf numFmtId="10" fontId="0" fillId="0" borderId="0" xfId="0" applyNumberFormat="1"/>
    <xf numFmtId="0" fontId="0" fillId="5" borderId="3" xfId="0" applyFill="1" applyBorder="1"/>
    <xf numFmtId="0" fontId="0" fillId="5" borderId="0" xfId="0" applyFill="1"/>
    <xf numFmtId="0" fontId="0" fillId="5" borderId="8" xfId="0" applyFill="1" applyBorder="1"/>
    <xf numFmtId="0" fontId="0" fillId="5" borderId="2" xfId="0" applyFill="1" applyBorder="1"/>
    <xf numFmtId="0" fontId="0" fillId="5" borderId="5" xfId="0" applyFill="1" applyBorder="1"/>
    <xf numFmtId="0" fontId="0" fillId="5" borderId="7" xfId="0" applyFill="1" applyBorder="1"/>
    <xf numFmtId="0" fontId="0" fillId="5" borderId="4" xfId="0" applyFill="1" applyBorder="1"/>
    <xf numFmtId="0" fontId="0" fillId="5" borderId="6" xfId="0" applyFill="1" applyBorder="1"/>
    <xf numFmtId="0" fontId="0" fillId="5" borderId="9" xfId="0" applyFill="1" applyBorder="1"/>
    <xf numFmtId="0" fontId="10" fillId="5" borderId="6" xfId="0" applyFont="1" applyFill="1" applyBorder="1"/>
    <xf numFmtId="0" fontId="0" fillId="6" borderId="0" xfId="0" applyFill="1"/>
    <xf numFmtId="0" fontId="0" fillId="6" borderId="5" xfId="0" applyFill="1" applyBorder="1"/>
    <xf numFmtId="0" fontId="0" fillId="6" borderId="6" xfId="0" applyFill="1" applyBorder="1"/>
    <xf numFmtId="164" fontId="0" fillId="7" borderId="0" xfId="0" applyNumberFormat="1" applyFill="1"/>
    <xf numFmtId="9" fontId="0" fillId="0" borderId="0" xfId="0" applyNumberFormat="1"/>
    <xf numFmtId="44" fontId="10" fillId="7" borderId="0" xfId="0" applyNumberFormat="1" applyFont="1" applyFill="1" applyAlignment="1">
      <alignment horizontal="center"/>
    </xf>
    <xf numFmtId="164" fontId="10" fillId="7" borderId="0" xfId="0" applyNumberFormat="1" applyFont="1" applyFill="1" applyAlignment="1">
      <alignment horizontal="center"/>
    </xf>
    <xf numFmtId="166" fontId="1" fillId="0" borderId="0" xfId="0" applyNumberFormat="1" applyFont="1" applyAlignment="1">
      <alignment horizontal="center"/>
    </xf>
    <xf numFmtId="166" fontId="2" fillId="0" borderId="0" xfId="0" applyNumberFormat="1" applyFont="1" applyAlignment="1">
      <alignment horizontal="left"/>
    </xf>
    <xf numFmtId="166" fontId="0" fillId="0" borderId="0" xfId="0" applyNumberFormat="1"/>
    <xf numFmtId="10" fontId="0" fillId="0" borderId="12" xfId="1" applyNumberFormat="1" applyFont="1" applyBorder="1" applyAlignment="1">
      <alignment horizontal="center"/>
    </xf>
    <xf numFmtId="2" fontId="10" fillId="7" borderId="0" xfId="0" applyNumberFormat="1" applyFont="1" applyFill="1" applyAlignment="1">
      <alignment horizontal="center"/>
    </xf>
    <xf numFmtId="164" fontId="0" fillId="0" borderId="0" xfId="0" applyNumberFormat="1" applyAlignment="1">
      <alignment horizontal="center"/>
    </xf>
    <xf numFmtId="0" fontId="0" fillId="0" borderId="0" xfId="0" applyBorder="1"/>
    <xf numFmtId="0" fontId="0" fillId="0" borderId="12" xfId="0" applyNumberFormat="1" applyBorder="1"/>
    <xf numFmtId="0" fontId="0" fillId="0" borderId="11" xfId="0" applyNumberFormat="1" applyBorder="1"/>
  </cellXfs>
  <cellStyles count="2">
    <cellStyle name="Normal" xfId="0" builtinId="0"/>
    <cellStyle name="Percent" xfId="1" builtinId="5"/>
  </cellStyles>
  <dxfs count="36">
    <dxf>
      <numFmt numFmtId="2" formatCode="0.00"/>
    </dxf>
    <dxf>
      <font>
        <b val="0"/>
        <i val="0"/>
        <strike val="0"/>
        <condense val="0"/>
        <extend val="0"/>
        <outline val="0"/>
        <shadow val="0"/>
        <u val="none"/>
        <vertAlign val="baseline"/>
        <sz val="11"/>
        <color theme="1"/>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9" formatCode="d/m/yyyy"/>
      <alignment horizontal="lef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6" formatCode="dd\-mmm\-yy"/>
      <alignment horizontal="left" vertical="bottom" textRotation="0" wrapText="0" indent="0" justifyLastLine="0" shrinkToFit="0" readingOrder="0"/>
    </dxf>
    <dxf>
      <font>
        <b/>
        <i val="0"/>
        <strike val="0"/>
        <condense val="0"/>
        <extend val="0"/>
        <outline val="0"/>
        <shadow val="0"/>
        <u val="none"/>
        <vertAlign val="baseline"/>
        <sz val="14"/>
        <color theme="1"/>
        <name val="Arial"/>
        <family val="2"/>
        <scheme val="none"/>
      </font>
      <alignment horizontal="center" vertical="bottom" textRotation="0" wrapText="0" indent="0" justifyLastLine="0" shrinkToFit="0" readingOrder="0"/>
    </dxf>
    <dxf>
      <numFmt numFmtId="2" formatCode="0.00"/>
    </dxf>
    <dxf>
      <numFmt numFmtId="2" formatCode="0.00"/>
    </dxf>
    <dxf>
      <numFmt numFmtId="2" formatCode="0.00"/>
    </dxf>
    <dxf>
      <numFmt numFmtId="2" formatCode="0.00"/>
    </dxf>
    <dxf>
      <numFmt numFmtId="2" formatCode="0.00"/>
    </dxf>
    <dxf>
      <numFmt numFmtId="2" formatCode="0.00"/>
    </dxf>
    <dxf>
      <numFmt numFmtId="14" formatCode="0.00%"/>
    </dxf>
    <dxf>
      <numFmt numFmtId="2" formatCode="0.00"/>
    </dxf>
    <dxf>
      <numFmt numFmtId="2" formatCode="0.00"/>
    </dxf>
    <dxf>
      <border outline="0">
        <top style="medium">
          <color rgb="FFC4C7C5"/>
        </top>
      </border>
    </dxf>
    <dxf>
      <border outline="0">
        <bottom style="medium">
          <color rgb="FFC4C7C5"/>
        </bottom>
      </border>
    </dxf>
    <dxf>
      <font>
        <b/>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border diagonalUp="0" diagonalDown="0" outline="0">
        <left style="medium">
          <color rgb="FFC4C7C5"/>
        </left>
        <right style="medium">
          <color rgb="FFC4C7C5"/>
        </right>
        <top/>
        <bottom/>
      </border>
    </dxf>
    <dxf>
      <border>
        <top style="thin">
          <color indexed="64"/>
        </top>
      </border>
    </dxf>
    <dxf>
      <border>
        <top style="thin">
          <color indexed="64"/>
        </top>
      </border>
    </dxf>
    <dxf>
      <alignment wrapText="1"/>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 Budget.xlsm]Dashboard!PivotTable1</c:name>
    <c:fmtId val="0"/>
  </c:pivotSource>
  <c:chart>
    <c:title>
      <c:tx>
        <c:strRef>
          <c:f>Dashboard!$N$26</c:f>
          <c:strCache>
            <c:ptCount val="1"/>
            <c:pt idx="0">
              <c:v>Spend by category - Aug-26</c:v>
            </c:pt>
          </c:strCache>
        </c:strRef>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9714656290531776"/>
              <c:y val="9.36170003647733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0.19055334639299323"/>
              <c:y val="0.1506647860208996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0.11932555123216604"/>
              <c:y val="0.2666666070996576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0.16255944660613922"/>
              <c:y val="0.1304964247508962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dLbl>
          <c:idx val="0"/>
          <c:layout>
            <c:manualLayout>
              <c:x val="-0.16255944660613922"/>
              <c:y val="5.106381838078553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dLbl>
          <c:idx val="0"/>
          <c:layout>
            <c:manualLayout>
              <c:x val="-9.5114569822741024E-2"/>
              <c:y val="-0.1702127279359517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dLbl>
          <c:idx val="0"/>
          <c:layout>
            <c:manualLayout>
              <c:x val="3.6316472114137487E-2"/>
              <c:y val="-0.1503545763434240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dLbl>
          <c:idx val="0"/>
          <c:layout>
            <c:manualLayout>
              <c:x val="-4.6692607003891079E-2"/>
              <c:y val="0.1588652127402215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dLbl>
          <c:idx val="0"/>
          <c:layout>
            <c:manualLayout>
              <c:x val="-0.1746649373108517"/>
              <c:y val="0.1049645155605034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dLbl>
          <c:idx val="0"/>
          <c:layout>
            <c:manualLayout>
              <c:x val="-1.2105490704712557E-2"/>
              <c:y val="0.1276595459519638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pivotFmt>
      <c:pivotFmt>
        <c:idx val="18"/>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dLbl>
          <c:idx val="0"/>
          <c:layout>
            <c:manualLayout>
              <c:x val="-4.5178999793286129E-2"/>
              <c:y val="-0.1277138951310032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8"/>
        <c:dLbl>
          <c:idx val="0"/>
          <c:layout>
            <c:manualLayout>
              <c:x val="7.4561394925473715E-2"/>
              <c:y val="-0.2017879543069851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9"/>
        <c:dLbl>
          <c:idx val="0"/>
          <c:layout>
            <c:manualLayout>
              <c:x val="-0.10526314577713937"/>
              <c:y val="-0.1941251205991249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0"/>
        <c:dLbl>
          <c:idx val="0"/>
          <c:layout>
            <c:manualLayout>
              <c:x val="-0.2368420779985636"/>
              <c:y val="-8.17368928838421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1"/>
        <c:dLbl>
          <c:idx val="0"/>
          <c:layout>
            <c:manualLayout>
              <c:x val="-7.309940678968016E-2"/>
              <c:y val="-0.1200510614231430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2"/>
        <c:dLbl>
          <c:idx val="0"/>
          <c:layout>
            <c:manualLayout>
              <c:x val="-6.5789466110712097E-2"/>
              <c:y val="-8.684544868908225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3"/>
        <c:dLbl>
          <c:idx val="0"/>
          <c:layout>
            <c:manualLayout>
              <c:x val="0.12280700340666253"/>
              <c:y val="-7.6628337078602903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4"/>
        <c:dLbl>
          <c:idx val="0"/>
          <c:layout>
            <c:manualLayout>
              <c:x val="2.0467833901110458E-2"/>
              <c:y val="-5.619411385764144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5"/>
        <c:spPr>
          <a:solidFill>
            <a:schemeClr val="accent1"/>
          </a:solidFill>
          <a:ln>
            <a:noFill/>
          </a:ln>
          <a:effectLst>
            <a:outerShdw blurRad="254000" sx="102000" sy="102000" algn="ctr" rotWithShape="0">
              <a:prstClr val="black">
                <a:alpha val="20000"/>
              </a:prstClr>
            </a:outerShdw>
          </a:effectLst>
        </c:spPr>
        <c:dLbl>
          <c:idx val="0"/>
          <c:layout>
            <c:manualLayout>
              <c:x val="2.4421080969342958E-3"/>
              <c:y val="-0.1532566741572039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31542866174445122"/>
          <c:y val="0.23883282774050391"/>
          <c:w val="0.4207582018108334"/>
          <c:h val="0.74958844951509951"/>
        </c:manualLayout>
      </c:layout>
      <c:doughnutChart>
        <c:varyColors val="1"/>
        <c:ser>
          <c:idx val="0"/>
          <c:order val="0"/>
          <c:tx>
            <c:strRef>
              <c:f>Dashboard!$N$26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8-09AB-4333-8700-6BCF5D74095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5F4-4F70-A921-F544B3CF05B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5F4-4F70-A921-F544B3CF05B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5F4-4F70-A921-F544B3CF05B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5F4-4F70-A921-F544B3CF05B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15F4-4F70-A921-F544B3CF05BE}"/>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15F4-4F70-A921-F544B3CF05BE}"/>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15F4-4F70-A921-F544B3CF05BE}"/>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15F4-4F70-A921-F544B3CF05BE}"/>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09AB-4333-8700-6BCF5D74095A}"/>
              </c:ext>
            </c:extLst>
          </c:dPt>
          <c:dLbls>
            <c:dLbl>
              <c:idx val="6"/>
              <c:layout>
                <c:manualLayout>
                  <c:x val="-4.5178999793286129E-2"/>
                  <c:y val="-0.1277138951310032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15F4-4F70-A921-F544B3CF05B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Dashboard!$N$26</c:f>
              <c:strCache>
                <c:ptCount val="10"/>
                <c:pt idx="0">
                  <c:v>Food</c:v>
                </c:pt>
                <c:pt idx="1">
                  <c:v>Home_Bills</c:v>
                </c:pt>
                <c:pt idx="2">
                  <c:v>Transport</c:v>
                </c:pt>
                <c:pt idx="3">
                  <c:v>Self_care</c:v>
                </c:pt>
                <c:pt idx="4">
                  <c:v>Others</c:v>
                </c:pt>
                <c:pt idx="5">
                  <c:v>Own_Interest</c:v>
                </c:pt>
                <c:pt idx="6">
                  <c:v>Shopping</c:v>
                </c:pt>
                <c:pt idx="7">
                  <c:v>Entertainment</c:v>
                </c:pt>
                <c:pt idx="8">
                  <c:v>Health</c:v>
                </c:pt>
                <c:pt idx="9">
                  <c:v>Subscription</c:v>
                </c:pt>
              </c:strCache>
            </c:strRef>
          </c:cat>
          <c:val>
            <c:numRef>
              <c:f>Dashboard!$N$26</c:f>
              <c:numCache>
                <c:formatCode>0.00</c:formatCode>
                <c:ptCount val="10"/>
                <c:pt idx="0">
                  <c:v>1037.3100000000002</c:v>
                </c:pt>
                <c:pt idx="1">
                  <c:v>291.05</c:v>
                </c:pt>
                <c:pt idx="2">
                  <c:v>253</c:v>
                </c:pt>
                <c:pt idx="3">
                  <c:v>52</c:v>
                </c:pt>
                <c:pt idx="4">
                  <c:v>29</c:v>
                </c:pt>
                <c:pt idx="5">
                  <c:v>220</c:v>
                </c:pt>
                <c:pt idx="6">
                  <c:v>61.5</c:v>
                </c:pt>
                <c:pt idx="7">
                  <c:v>50</c:v>
                </c:pt>
                <c:pt idx="8">
                  <c:v>329.5</c:v>
                </c:pt>
                <c:pt idx="9">
                  <c:v>61.699999999999996</c:v>
                </c:pt>
              </c:numCache>
            </c:numRef>
          </c:val>
          <c:extLst>
            <c:ext xmlns:c16="http://schemas.microsoft.com/office/drawing/2014/chart" uri="{C3380CC4-5D6E-409C-BE32-E72D297353CC}">
              <c16:uniqueId val="{00000016-09AB-4333-8700-6BCF5D74095A}"/>
            </c:ext>
          </c:extLst>
        </c:ser>
        <c:dLbls>
          <c:showLegendKey val="0"/>
          <c:showVal val="0"/>
          <c:showCatName val="1"/>
          <c:showSerName val="0"/>
          <c:showPercent val="1"/>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 Budget.xlsm]Dashboard!PivotTable2</c:name>
    <c:fmtId val="0"/>
  </c:pivotSource>
  <c:chart>
    <c:title>
      <c:tx>
        <c:strRef>
          <c:f>Dashboard!$N$27</c:f>
          <c:strCache>
            <c:ptCount val="1"/>
            <c:pt idx="0">
              <c:v>Spend by tags - Aug-26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50951668798838"/>
          <c:y val="0.10499643802565871"/>
          <c:w val="0.83364685249584081"/>
          <c:h val="0.82955908196464057"/>
        </c:manualLayout>
      </c:layout>
      <c:barChart>
        <c:barDir val="bar"/>
        <c:grouping val="clustered"/>
        <c:varyColors val="0"/>
        <c:ser>
          <c:idx val="0"/>
          <c:order val="0"/>
          <c:tx>
            <c:strRef>
              <c:f>Dashboard!$N$27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Dashboard!$N$27</c:f>
              <c:strCache>
                <c:ptCount val="28"/>
                <c:pt idx="0">
                  <c:v>iCloud</c:v>
                </c:pt>
                <c:pt idx="1">
                  <c:v>Toll</c:v>
                </c:pt>
                <c:pt idx="2">
                  <c:v>Youtube Membership</c:v>
                </c:pt>
                <c:pt idx="3">
                  <c:v>Drugs</c:v>
                </c:pt>
                <c:pt idx="4">
                  <c:v>Water</c:v>
                </c:pt>
                <c:pt idx="5">
                  <c:v>Supper</c:v>
                </c:pt>
                <c:pt idx="6">
                  <c:v>Breakfast &amp; Lunch</c:v>
                </c:pt>
                <c:pt idx="7">
                  <c:v>Youtube Premium</c:v>
                </c:pt>
                <c:pt idx="8">
                  <c:v>Parking</c:v>
                </c:pt>
                <c:pt idx="9">
                  <c:v>Photo</c:v>
                </c:pt>
                <c:pt idx="10">
                  <c:v>Groceries</c:v>
                </c:pt>
                <c:pt idx="11">
                  <c:v>Netflix</c:v>
                </c:pt>
                <c:pt idx="12">
                  <c:v>Accessories</c:v>
                </c:pt>
                <c:pt idx="13">
                  <c:v>Snack</c:v>
                </c:pt>
                <c:pt idx="14">
                  <c:v>Movie</c:v>
                </c:pt>
                <c:pt idx="15">
                  <c:v>Haircut</c:v>
                </c:pt>
                <c:pt idx="16">
                  <c:v>Morning Coffee</c:v>
                </c:pt>
                <c:pt idx="17">
                  <c:v>Cuckoo</c:v>
                </c:pt>
                <c:pt idx="18">
                  <c:v>Indah Water</c:v>
                </c:pt>
                <c:pt idx="19">
                  <c:v>Breakfast</c:v>
                </c:pt>
                <c:pt idx="20">
                  <c:v>Brunch</c:v>
                </c:pt>
                <c:pt idx="21">
                  <c:v>Petrol</c:v>
                </c:pt>
                <c:pt idx="22">
                  <c:v>Electric</c:v>
                </c:pt>
                <c:pt idx="23">
                  <c:v>Season Parking</c:v>
                </c:pt>
                <c:pt idx="24">
                  <c:v>Guitar Class</c:v>
                </c:pt>
                <c:pt idx="25">
                  <c:v>Lunch</c:v>
                </c:pt>
                <c:pt idx="26">
                  <c:v>Hospital</c:v>
                </c:pt>
                <c:pt idx="27">
                  <c:v>Dinner</c:v>
                </c:pt>
              </c:strCache>
            </c:strRef>
          </c:cat>
          <c:val>
            <c:numRef>
              <c:f>Dashboard!$N$27</c:f>
              <c:numCache>
                <c:formatCode>General</c:formatCode>
                <c:ptCount val="28"/>
                <c:pt idx="0">
                  <c:v>3.9</c:v>
                </c:pt>
                <c:pt idx="1">
                  <c:v>4.2</c:v>
                </c:pt>
                <c:pt idx="2">
                  <c:v>10</c:v>
                </c:pt>
                <c:pt idx="3">
                  <c:v>10.5</c:v>
                </c:pt>
                <c:pt idx="4">
                  <c:v>11.05</c:v>
                </c:pt>
                <c:pt idx="5">
                  <c:v>12.3</c:v>
                </c:pt>
                <c:pt idx="6">
                  <c:v>15.6</c:v>
                </c:pt>
                <c:pt idx="7">
                  <c:v>17.899999999999999</c:v>
                </c:pt>
                <c:pt idx="8">
                  <c:v>22.5</c:v>
                </c:pt>
                <c:pt idx="9">
                  <c:v>29</c:v>
                </c:pt>
                <c:pt idx="10">
                  <c:v>29</c:v>
                </c:pt>
                <c:pt idx="11">
                  <c:v>29.9</c:v>
                </c:pt>
                <c:pt idx="12">
                  <c:v>32.5</c:v>
                </c:pt>
                <c:pt idx="13">
                  <c:v>45</c:v>
                </c:pt>
                <c:pt idx="14">
                  <c:v>50</c:v>
                </c:pt>
                <c:pt idx="15">
                  <c:v>52</c:v>
                </c:pt>
                <c:pt idx="16">
                  <c:v>61.099999999999994</c:v>
                </c:pt>
                <c:pt idx="17">
                  <c:v>80</c:v>
                </c:pt>
                <c:pt idx="18">
                  <c:v>90</c:v>
                </c:pt>
                <c:pt idx="19">
                  <c:v>95.6</c:v>
                </c:pt>
                <c:pt idx="20">
                  <c:v>98.46</c:v>
                </c:pt>
                <c:pt idx="21">
                  <c:v>106.3</c:v>
                </c:pt>
                <c:pt idx="22">
                  <c:v>110</c:v>
                </c:pt>
                <c:pt idx="23">
                  <c:v>120</c:v>
                </c:pt>
                <c:pt idx="24">
                  <c:v>220</c:v>
                </c:pt>
                <c:pt idx="25">
                  <c:v>222.60000000000002</c:v>
                </c:pt>
                <c:pt idx="26">
                  <c:v>319</c:v>
                </c:pt>
                <c:pt idx="27">
                  <c:v>486.65000000000003</c:v>
                </c:pt>
              </c:numCache>
            </c:numRef>
          </c:val>
          <c:extLst>
            <c:ext xmlns:c16="http://schemas.microsoft.com/office/drawing/2014/chart" uri="{C3380CC4-5D6E-409C-BE32-E72D297353CC}">
              <c16:uniqueId val="{00000000-A81A-44B2-8122-6B5C8B93524B}"/>
            </c:ext>
          </c:extLst>
        </c:ser>
        <c:dLbls>
          <c:dLblPos val="outEnd"/>
          <c:showLegendKey val="0"/>
          <c:showVal val="1"/>
          <c:showCatName val="0"/>
          <c:showSerName val="0"/>
          <c:showPercent val="0"/>
          <c:showBubbleSize val="0"/>
        </c:dLbls>
        <c:gapWidth val="182"/>
        <c:axId val="1436093888"/>
        <c:axId val="1436090528"/>
      </c:barChart>
      <c:catAx>
        <c:axId val="1436093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6090528"/>
        <c:crosses val="autoZero"/>
        <c:auto val="1"/>
        <c:lblAlgn val="ctr"/>
        <c:lblOffset val="100"/>
        <c:noMultiLvlLbl val="0"/>
      </c:catAx>
      <c:valAx>
        <c:axId val="1436090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6093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581026</xdr:colOff>
      <xdr:row>18</xdr:row>
      <xdr:rowOff>66676</xdr:rowOff>
    </xdr:from>
    <xdr:to>
      <xdr:col>3</xdr:col>
      <xdr:colOff>533401</xdr:colOff>
      <xdr:row>27</xdr:row>
      <xdr:rowOff>28576</xdr:rowOff>
    </xdr:to>
    <mc:AlternateContent xmlns:mc="http://schemas.openxmlformats.org/markup-compatibility/2006" xmlns:a14="http://schemas.microsoft.com/office/drawing/2010/main">
      <mc:Choice Requires="a14">
        <xdr:graphicFrame macro="">
          <xdr:nvGraphicFramePr>
            <xdr:cNvPr id="3" name="Day">
              <a:extLst>
                <a:ext uri="{FF2B5EF4-FFF2-40B4-BE49-F238E27FC236}">
                  <a16:creationId xmlns:a16="http://schemas.microsoft.com/office/drawing/2014/main" id="{0CC09E2E-AA27-F981-9338-3F76EDC863B1}"/>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1647826" y="1400176"/>
              <a:ext cx="1809750" cy="167640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190500</xdr:colOff>
      <xdr:row>18</xdr:row>
      <xdr:rowOff>133350</xdr:rowOff>
    </xdr:from>
    <xdr:to>
      <xdr:col>9</xdr:col>
      <xdr:colOff>1409700</xdr:colOff>
      <xdr:row>27</xdr:row>
      <xdr:rowOff>114300</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40257E51-8900-7C1B-3CBB-29474A3D940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715750" y="3105150"/>
              <a:ext cx="1828800" cy="169545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123825</xdr:colOff>
      <xdr:row>29</xdr:row>
      <xdr:rowOff>95249</xdr:rowOff>
    </xdr:from>
    <xdr:to>
      <xdr:col>11</xdr:col>
      <xdr:colOff>542475</xdr:colOff>
      <xdr:row>55</xdr:row>
      <xdr:rowOff>114300</xdr:rowOff>
    </xdr:to>
    <xdr:graphicFrame macro="">
      <xdr:nvGraphicFramePr>
        <xdr:cNvPr id="5" name="Transaction Chart">
          <a:extLst>
            <a:ext uri="{FF2B5EF4-FFF2-40B4-BE49-F238E27FC236}">
              <a16:creationId xmlns:a16="http://schemas.microsoft.com/office/drawing/2014/main" id="{ABC511CE-5130-6D39-E3DC-15BE54D2B0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1171575</xdr:colOff>
      <xdr:row>63</xdr:row>
      <xdr:rowOff>85724</xdr:rowOff>
    </xdr:from>
    <xdr:to>
      <xdr:col>10</xdr:col>
      <xdr:colOff>790575</xdr:colOff>
      <xdr:row>87</xdr:row>
      <xdr:rowOff>0</xdr:rowOff>
    </xdr:to>
    <xdr:graphicFrame macro="">
      <xdr:nvGraphicFramePr>
        <xdr:cNvPr id="7" name="Chart 6">
          <a:extLst>
            <a:ext uri="{FF2B5EF4-FFF2-40B4-BE49-F238E27FC236}">
              <a16:creationId xmlns:a16="http://schemas.microsoft.com/office/drawing/2014/main" id="{B06EA628-CEAE-C6FD-9D76-B9CFE262E0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800100</xdr:colOff>
      <xdr:row>18</xdr:row>
      <xdr:rowOff>85725</xdr:rowOff>
    </xdr:from>
    <xdr:to>
      <xdr:col>6</xdr:col>
      <xdr:colOff>942975</xdr:colOff>
      <xdr:row>25</xdr:row>
      <xdr:rowOff>123825</xdr:rowOff>
    </xdr:to>
    <mc:AlternateContent xmlns:mc="http://schemas.openxmlformats.org/markup-compatibility/2006" xmlns:tsle="http://schemas.microsoft.com/office/drawing/2012/timeslicer">
      <mc:Choice Requires="tsle">
        <xdr:graphicFrame macro="">
          <xdr:nvGraphicFramePr>
            <xdr:cNvPr id="8" name="Date 1">
              <a:extLst>
                <a:ext uri="{FF2B5EF4-FFF2-40B4-BE49-F238E27FC236}">
                  <a16:creationId xmlns:a16="http://schemas.microsoft.com/office/drawing/2014/main" id="{A97B67C1-D4F2-6404-D0D0-AFF64A0825E6}"/>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5915025" y="3057525"/>
              <a:ext cx="3333750" cy="1371600"/>
            </a:xfrm>
            <a:prstGeom prst="rect">
              <a:avLst/>
            </a:prstGeom>
            <a:solidFill>
              <a:prstClr val="white"/>
            </a:solidFill>
            <a:ln w="1">
              <a:solidFill>
                <a:prstClr val="green"/>
              </a:solidFill>
            </a:ln>
          </xdr:spPr>
          <xdr:txBody>
            <a:bodyPr vertOverflow="clip" horzOverflow="clip"/>
            <a:lstStyle/>
            <a:p>
              <a:r>
                <a:rPr lang="en-MY" sz="1100"/>
                <a:t>Timeline: Works in Excel 2013 or higher. Do not move or resize.</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4.828861805552" createdVersion="8" refreshedVersion="8" minRefreshableVersion="3" recordCount="172" xr:uid="{4825CD42-54AA-44B7-8B43-7969C6F359D6}">
  <cacheSource type="worksheet">
    <worksheetSource name="Transaction"/>
  </cacheSource>
  <cacheFields count="6">
    <cacheField name="Date" numFmtId="166">
      <sharedItems containsSemiMixedTypes="0" containsNonDate="0" containsDate="1" containsString="0" minDate="2026-08-01T00:00:00" maxDate="2026-09-20T00:00:00" count="5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sharedItems>
    </cacheField>
    <cacheField name="Day" numFmtId="14">
      <sharedItems count="7">
        <s v="Saturday"/>
        <s v="Sunday"/>
        <s v="Monday"/>
        <s v="Tuesday"/>
        <s v="Wednesday"/>
        <s v="Thursday"/>
        <s v="Friday"/>
      </sharedItems>
    </cacheField>
    <cacheField name="Category" numFmtId="0">
      <sharedItems containsBlank="1" count="12">
        <s v="Food"/>
        <s v="Subscription"/>
        <s v="Home_Bills"/>
        <s v="Transport"/>
        <s v="Self_care"/>
        <s v="Others"/>
        <s v="Own_Interest"/>
        <s v="Shopping"/>
        <s v="Entertainment"/>
        <s v="Health"/>
        <s v="Subcription" u="1"/>
        <m u="1"/>
      </sharedItems>
    </cacheField>
    <cacheField name="Tags" numFmtId="0">
      <sharedItems containsBlank="1" count="30">
        <s v="Brunch"/>
        <s v="Youtube Premium"/>
        <s v="Cuckoo"/>
        <s v="Dinner"/>
        <s v="Morning Coffee"/>
        <s v="Lunch"/>
        <s v="Parking"/>
        <s v="Petrol"/>
        <s v="Breakfast"/>
        <s v="Snack"/>
        <s v="Haircut"/>
        <s v="Netflix"/>
        <s v="Photo"/>
        <s v="Guitar Class"/>
        <s v="Accessories"/>
        <s v="Water"/>
        <s v="Supper"/>
        <s v="Electric"/>
        <s v="Indah Water"/>
        <s v="Movie"/>
        <s v="Toll"/>
        <s v="Hospital"/>
        <s v="Drugs"/>
        <s v="iCloud"/>
        <s v="Youtube Membership"/>
        <s v="Breakfast &amp; Lunch"/>
        <s v="Season Parking"/>
        <s v="Groceries"/>
        <s v="Product"/>
        <m u="1"/>
      </sharedItems>
    </cacheField>
    <cacheField name="Description" numFmtId="0">
      <sharedItems containsBlank="1"/>
    </cacheField>
    <cacheField name="Amount (RM)" numFmtId="2">
      <sharedItems containsSemiMixedTypes="0" containsString="0" containsNumber="1" minValue="1" maxValue="319"/>
    </cacheField>
  </cacheFields>
  <extLst>
    <ext xmlns:x14="http://schemas.microsoft.com/office/spreadsheetml/2009/9/main" uri="{725AE2AE-9491-48be-B2B4-4EB974FC3084}">
      <x14:pivotCacheDefinition pivotCacheId="1027112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
  <r>
    <x v="0"/>
    <x v="0"/>
    <x v="0"/>
    <x v="0"/>
    <m/>
    <n v="15.9"/>
  </r>
  <r>
    <x v="0"/>
    <x v="0"/>
    <x v="1"/>
    <x v="1"/>
    <m/>
    <n v="17.899999999999999"/>
  </r>
  <r>
    <x v="1"/>
    <x v="1"/>
    <x v="2"/>
    <x v="2"/>
    <m/>
    <n v="80"/>
  </r>
  <r>
    <x v="2"/>
    <x v="2"/>
    <x v="0"/>
    <x v="3"/>
    <m/>
    <n v="17.600000000000001"/>
  </r>
  <r>
    <x v="3"/>
    <x v="3"/>
    <x v="0"/>
    <x v="4"/>
    <m/>
    <n v="10.9"/>
  </r>
  <r>
    <x v="3"/>
    <x v="3"/>
    <x v="0"/>
    <x v="5"/>
    <m/>
    <n v="10"/>
  </r>
  <r>
    <x v="3"/>
    <x v="3"/>
    <x v="0"/>
    <x v="3"/>
    <m/>
    <n v="21"/>
  </r>
  <r>
    <x v="3"/>
    <x v="3"/>
    <x v="3"/>
    <x v="6"/>
    <m/>
    <n v="10"/>
  </r>
  <r>
    <x v="4"/>
    <x v="4"/>
    <x v="0"/>
    <x v="4"/>
    <m/>
    <n v="10.9"/>
  </r>
  <r>
    <x v="4"/>
    <x v="4"/>
    <x v="0"/>
    <x v="5"/>
    <m/>
    <n v="7.5"/>
  </r>
  <r>
    <x v="4"/>
    <x v="4"/>
    <x v="0"/>
    <x v="3"/>
    <m/>
    <n v="10.199999999999999"/>
  </r>
  <r>
    <x v="5"/>
    <x v="5"/>
    <x v="0"/>
    <x v="4"/>
    <m/>
    <n v="12.2"/>
  </r>
  <r>
    <x v="5"/>
    <x v="5"/>
    <x v="0"/>
    <x v="5"/>
    <m/>
    <n v="10.5"/>
  </r>
  <r>
    <x v="5"/>
    <x v="5"/>
    <x v="0"/>
    <x v="3"/>
    <m/>
    <n v="12.2"/>
  </r>
  <r>
    <x v="5"/>
    <x v="5"/>
    <x v="3"/>
    <x v="7"/>
    <m/>
    <n v="55"/>
  </r>
  <r>
    <x v="6"/>
    <x v="6"/>
    <x v="0"/>
    <x v="8"/>
    <m/>
    <n v="10.199999999999999"/>
  </r>
  <r>
    <x v="6"/>
    <x v="6"/>
    <x v="0"/>
    <x v="4"/>
    <m/>
    <n v="7.4"/>
  </r>
  <r>
    <x v="6"/>
    <x v="6"/>
    <x v="0"/>
    <x v="5"/>
    <m/>
    <n v="7"/>
  </r>
  <r>
    <x v="6"/>
    <x v="6"/>
    <x v="0"/>
    <x v="9"/>
    <m/>
    <n v="11"/>
  </r>
  <r>
    <x v="6"/>
    <x v="6"/>
    <x v="0"/>
    <x v="3"/>
    <m/>
    <n v="28.05"/>
  </r>
  <r>
    <x v="6"/>
    <x v="6"/>
    <x v="4"/>
    <x v="10"/>
    <m/>
    <n v="52"/>
  </r>
  <r>
    <x v="6"/>
    <x v="6"/>
    <x v="1"/>
    <x v="11"/>
    <m/>
    <n v="29.9"/>
  </r>
  <r>
    <x v="7"/>
    <x v="0"/>
    <x v="5"/>
    <x v="12"/>
    <m/>
    <n v="29"/>
  </r>
  <r>
    <x v="7"/>
    <x v="0"/>
    <x v="0"/>
    <x v="5"/>
    <m/>
    <n v="18.899999999999999"/>
  </r>
  <r>
    <x v="7"/>
    <x v="0"/>
    <x v="0"/>
    <x v="3"/>
    <m/>
    <n v="14.6"/>
  </r>
  <r>
    <x v="8"/>
    <x v="1"/>
    <x v="0"/>
    <x v="4"/>
    <m/>
    <n v="4.8"/>
  </r>
  <r>
    <x v="8"/>
    <x v="1"/>
    <x v="0"/>
    <x v="5"/>
    <m/>
    <n v="8"/>
  </r>
  <r>
    <x v="8"/>
    <x v="1"/>
    <x v="0"/>
    <x v="3"/>
    <m/>
    <n v="11"/>
  </r>
  <r>
    <x v="8"/>
    <x v="1"/>
    <x v="0"/>
    <x v="8"/>
    <s v="For next day (Aug 10)"/>
    <n v="5.2"/>
  </r>
  <r>
    <x v="8"/>
    <x v="1"/>
    <x v="6"/>
    <x v="13"/>
    <m/>
    <n v="220"/>
  </r>
  <r>
    <x v="9"/>
    <x v="2"/>
    <x v="0"/>
    <x v="5"/>
    <m/>
    <n v="9"/>
  </r>
  <r>
    <x v="9"/>
    <x v="2"/>
    <x v="0"/>
    <x v="3"/>
    <m/>
    <n v="14.9"/>
  </r>
  <r>
    <x v="10"/>
    <x v="3"/>
    <x v="0"/>
    <x v="5"/>
    <m/>
    <n v="7"/>
  </r>
  <r>
    <x v="10"/>
    <x v="3"/>
    <x v="0"/>
    <x v="3"/>
    <m/>
    <n v="15.3"/>
  </r>
  <r>
    <x v="10"/>
    <x v="3"/>
    <x v="0"/>
    <x v="9"/>
    <m/>
    <n v="3"/>
  </r>
  <r>
    <x v="11"/>
    <x v="4"/>
    <x v="0"/>
    <x v="0"/>
    <m/>
    <n v="13.1"/>
  </r>
  <r>
    <x v="11"/>
    <x v="4"/>
    <x v="0"/>
    <x v="3"/>
    <m/>
    <n v="24"/>
  </r>
  <r>
    <x v="12"/>
    <x v="5"/>
    <x v="0"/>
    <x v="8"/>
    <m/>
    <n v="9.1"/>
  </r>
  <r>
    <x v="12"/>
    <x v="5"/>
    <x v="0"/>
    <x v="3"/>
    <m/>
    <n v="24.3"/>
  </r>
  <r>
    <x v="12"/>
    <x v="5"/>
    <x v="7"/>
    <x v="14"/>
    <m/>
    <n v="11"/>
  </r>
  <r>
    <x v="13"/>
    <x v="6"/>
    <x v="2"/>
    <x v="15"/>
    <m/>
    <n v="11.05"/>
  </r>
  <r>
    <x v="13"/>
    <x v="6"/>
    <x v="0"/>
    <x v="8"/>
    <m/>
    <n v="3.3"/>
  </r>
  <r>
    <x v="13"/>
    <x v="6"/>
    <x v="0"/>
    <x v="5"/>
    <m/>
    <n v="13.5"/>
  </r>
  <r>
    <x v="13"/>
    <x v="6"/>
    <x v="0"/>
    <x v="4"/>
    <m/>
    <n v="3.5"/>
  </r>
  <r>
    <x v="13"/>
    <x v="6"/>
    <x v="0"/>
    <x v="3"/>
    <m/>
    <n v="27.5"/>
  </r>
  <r>
    <x v="13"/>
    <x v="6"/>
    <x v="0"/>
    <x v="16"/>
    <m/>
    <n v="8.5"/>
  </r>
  <r>
    <x v="14"/>
    <x v="0"/>
    <x v="0"/>
    <x v="0"/>
    <m/>
    <n v="18.899999999999999"/>
  </r>
  <r>
    <x v="14"/>
    <x v="0"/>
    <x v="0"/>
    <x v="3"/>
    <m/>
    <n v="19.3"/>
  </r>
  <r>
    <x v="15"/>
    <x v="1"/>
    <x v="0"/>
    <x v="5"/>
    <m/>
    <n v="11"/>
  </r>
  <r>
    <x v="15"/>
    <x v="1"/>
    <x v="0"/>
    <x v="3"/>
    <m/>
    <n v="15"/>
  </r>
  <r>
    <x v="15"/>
    <x v="1"/>
    <x v="0"/>
    <x v="8"/>
    <s v="For next 2 day"/>
    <n v="8.8000000000000007"/>
  </r>
  <r>
    <x v="16"/>
    <x v="2"/>
    <x v="0"/>
    <x v="5"/>
    <m/>
    <n v="10"/>
  </r>
  <r>
    <x v="16"/>
    <x v="2"/>
    <x v="0"/>
    <x v="9"/>
    <m/>
    <n v="20"/>
  </r>
  <r>
    <x v="16"/>
    <x v="2"/>
    <x v="0"/>
    <x v="3"/>
    <m/>
    <n v="14.2"/>
  </r>
  <r>
    <x v="17"/>
    <x v="3"/>
    <x v="0"/>
    <x v="5"/>
    <m/>
    <n v="12.7"/>
  </r>
  <r>
    <x v="17"/>
    <x v="3"/>
    <x v="0"/>
    <x v="3"/>
    <m/>
    <n v="19"/>
  </r>
  <r>
    <x v="18"/>
    <x v="4"/>
    <x v="0"/>
    <x v="3"/>
    <m/>
    <n v="15.5"/>
  </r>
  <r>
    <x v="18"/>
    <x v="4"/>
    <x v="0"/>
    <x v="4"/>
    <m/>
    <n v="3.5"/>
  </r>
  <r>
    <x v="18"/>
    <x v="4"/>
    <x v="0"/>
    <x v="5"/>
    <m/>
    <n v="13.5"/>
  </r>
  <r>
    <x v="18"/>
    <x v="4"/>
    <x v="7"/>
    <x v="14"/>
    <m/>
    <n v="21.5"/>
  </r>
  <r>
    <x v="18"/>
    <x v="4"/>
    <x v="3"/>
    <x v="7"/>
    <m/>
    <n v="51.3"/>
  </r>
  <r>
    <x v="19"/>
    <x v="5"/>
    <x v="2"/>
    <x v="17"/>
    <m/>
    <n v="110"/>
  </r>
  <r>
    <x v="19"/>
    <x v="5"/>
    <x v="0"/>
    <x v="3"/>
    <m/>
    <n v="13.5"/>
  </r>
  <r>
    <x v="19"/>
    <x v="5"/>
    <x v="0"/>
    <x v="8"/>
    <m/>
    <n v="6.7"/>
  </r>
  <r>
    <x v="19"/>
    <x v="5"/>
    <x v="0"/>
    <x v="5"/>
    <m/>
    <n v="14.5"/>
  </r>
  <r>
    <x v="19"/>
    <x v="5"/>
    <x v="2"/>
    <x v="18"/>
    <m/>
    <n v="90"/>
  </r>
  <r>
    <x v="20"/>
    <x v="6"/>
    <x v="0"/>
    <x v="3"/>
    <m/>
    <n v="27.5"/>
  </r>
  <r>
    <x v="20"/>
    <x v="6"/>
    <x v="8"/>
    <x v="19"/>
    <m/>
    <n v="27.5"/>
  </r>
  <r>
    <x v="20"/>
    <x v="6"/>
    <x v="3"/>
    <x v="20"/>
    <m/>
    <n v="4.2"/>
  </r>
  <r>
    <x v="20"/>
    <x v="6"/>
    <x v="3"/>
    <x v="6"/>
    <m/>
    <n v="6"/>
  </r>
  <r>
    <x v="20"/>
    <x v="6"/>
    <x v="0"/>
    <x v="0"/>
    <m/>
    <n v="13.7"/>
  </r>
  <r>
    <x v="21"/>
    <x v="0"/>
    <x v="9"/>
    <x v="21"/>
    <m/>
    <n v="319"/>
  </r>
  <r>
    <x v="21"/>
    <x v="0"/>
    <x v="3"/>
    <x v="6"/>
    <m/>
    <n v="3"/>
  </r>
  <r>
    <x v="21"/>
    <x v="0"/>
    <x v="0"/>
    <x v="9"/>
    <m/>
    <n v="4"/>
  </r>
  <r>
    <x v="21"/>
    <x v="0"/>
    <x v="0"/>
    <x v="5"/>
    <m/>
    <n v="13"/>
  </r>
  <r>
    <x v="22"/>
    <x v="1"/>
    <x v="0"/>
    <x v="3"/>
    <m/>
    <n v="11"/>
  </r>
  <r>
    <x v="22"/>
    <x v="1"/>
    <x v="0"/>
    <x v="5"/>
    <m/>
    <n v="21"/>
  </r>
  <r>
    <x v="22"/>
    <x v="1"/>
    <x v="3"/>
    <x v="6"/>
    <m/>
    <n v="1"/>
  </r>
  <r>
    <x v="22"/>
    <x v="1"/>
    <x v="0"/>
    <x v="8"/>
    <m/>
    <n v="15.9"/>
  </r>
  <r>
    <x v="23"/>
    <x v="2"/>
    <x v="0"/>
    <x v="4"/>
    <m/>
    <n v="7.9"/>
  </r>
  <r>
    <x v="23"/>
    <x v="2"/>
    <x v="0"/>
    <x v="5"/>
    <m/>
    <n v="10"/>
  </r>
  <r>
    <x v="23"/>
    <x v="2"/>
    <x v="8"/>
    <x v="19"/>
    <m/>
    <n v="22.5"/>
  </r>
  <r>
    <x v="23"/>
    <x v="2"/>
    <x v="0"/>
    <x v="3"/>
    <m/>
    <n v="24"/>
  </r>
  <r>
    <x v="23"/>
    <x v="2"/>
    <x v="9"/>
    <x v="22"/>
    <m/>
    <n v="10.5"/>
  </r>
  <r>
    <x v="24"/>
    <x v="3"/>
    <x v="0"/>
    <x v="0"/>
    <m/>
    <n v="18.86"/>
  </r>
  <r>
    <x v="24"/>
    <x v="3"/>
    <x v="0"/>
    <x v="3"/>
    <m/>
    <n v="17"/>
  </r>
  <r>
    <x v="24"/>
    <x v="3"/>
    <x v="1"/>
    <x v="23"/>
    <m/>
    <n v="3.9"/>
  </r>
  <r>
    <x v="24"/>
    <x v="3"/>
    <x v="1"/>
    <x v="24"/>
    <m/>
    <n v="10"/>
  </r>
  <r>
    <x v="25"/>
    <x v="4"/>
    <x v="0"/>
    <x v="25"/>
    <m/>
    <n v="15.6"/>
  </r>
  <r>
    <x v="25"/>
    <x v="4"/>
    <x v="0"/>
    <x v="3"/>
    <m/>
    <n v="17.899999999999999"/>
  </r>
  <r>
    <x v="26"/>
    <x v="5"/>
    <x v="0"/>
    <x v="8"/>
    <m/>
    <n v="10"/>
  </r>
  <r>
    <x v="26"/>
    <x v="5"/>
    <x v="0"/>
    <x v="3"/>
    <m/>
    <n v="21.1"/>
  </r>
  <r>
    <x v="27"/>
    <x v="6"/>
    <x v="0"/>
    <x v="3"/>
    <m/>
    <n v="21.5"/>
  </r>
  <r>
    <x v="27"/>
    <x v="6"/>
    <x v="0"/>
    <x v="8"/>
    <m/>
    <n v="7.5"/>
  </r>
  <r>
    <x v="27"/>
    <x v="6"/>
    <x v="0"/>
    <x v="5"/>
    <m/>
    <n v="13.5"/>
  </r>
  <r>
    <x v="27"/>
    <x v="6"/>
    <x v="0"/>
    <x v="16"/>
    <m/>
    <n v="3.8"/>
  </r>
  <r>
    <x v="28"/>
    <x v="0"/>
    <x v="0"/>
    <x v="0"/>
    <m/>
    <n v="18"/>
  </r>
  <r>
    <x v="28"/>
    <x v="0"/>
    <x v="0"/>
    <x v="3"/>
    <m/>
    <n v="18"/>
  </r>
  <r>
    <x v="28"/>
    <x v="0"/>
    <x v="3"/>
    <x v="26"/>
    <m/>
    <n v="120"/>
  </r>
  <r>
    <x v="29"/>
    <x v="1"/>
    <x v="3"/>
    <x v="6"/>
    <m/>
    <n v="2.5"/>
  </r>
  <r>
    <x v="29"/>
    <x v="1"/>
    <x v="7"/>
    <x v="27"/>
    <s v="Jaya Grocer + Mr.diy"/>
    <n v="29"/>
  </r>
  <r>
    <x v="29"/>
    <x v="1"/>
    <x v="0"/>
    <x v="5"/>
    <m/>
    <n v="12"/>
  </r>
  <r>
    <x v="29"/>
    <x v="1"/>
    <x v="0"/>
    <x v="9"/>
    <m/>
    <n v="7"/>
  </r>
  <r>
    <x v="30"/>
    <x v="2"/>
    <x v="0"/>
    <x v="8"/>
    <m/>
    <n v="18.899999999999999"/>
  </r>
  <r>
    <x v="30"/>
    <x v="2"/>
    <x v="0"/>
    <x v="3"/>
    <m/>
    <n v="11.5"/>
  </r>
  <r>
    <x v="31"/>
    <x v="3"/>
    <x v="0"/>
    <x v="8"/>
    <m/>
    <n v="19"/>
  </r>
  <r>
    <x v="31"/>
    <x v="3"/>
    <x v="0"/>
    <x v="5"/>
    <m/>
    <n v="9"/>
  </r>
  <r>
    <x v="31"/>
    <x v="3"/>
    <x v="0"/>
    <x v="3"/>
    <m/>
    <n v="15.3"/>
  </r>
  <r>
    <x v="31"/>
    <x v="3"/>
    <x v="1"/>
    <x v="1"/>
    <m/>
    <n v="20.9"/>
  </r>
  <r>
    <x v="31"/>
    <x v="3"/>
    <x v="7"/>
    <x v="14"/>
    <s v="car wiper"/>
    <n v="42.9"/>
  </r>
  <r>
    <x v="32"/>
    <x v="4"/>
    <x v="0"/>
    <x v="25"/>
    <m/>
    <n v="21.9"/>
  </r>
  <r>
    <x v="32"/>
    <x v="4"/>
    <x v="0"/>
    <x v="3"/>
    <m/>
    <n v="12.1"/>
  </r>
  <r>
    <x v="32"/>
    <x v="4"/>
    <x v="7"/>
    <x v="14"/>
    <s v="nfc tag"/>
    <n v="5.67"/>
  </r>
  <r>
    <x v="33"/>
    <x v="5"/>
    <x v="0"/>
    <x v="8"/>
    <m/>
    <n v="8.5"/>
  </r>
  <r>
    <x v="33"/>
    <x v="5"/>
    <x v="0"/>
    <x v="5"/>
    <m/>
    <n v="13.5"/>
  </r>
  <r>
    <x v="33"/>
    <x v="5"/>
    <x v="0"/>
    <x v="3"/>
    <m/>
    <n v="12"/>
  </r>
  <r>
    <x v="34"/>
    <x v="6"/>
    <x v="0"/>
    <x v="8"/>
    <m/>
    <n v="6.9"/>
  </r>
  <r>
    <x v="34"/>
    <x v="6"/>
    <x v="0"/>
    <x v="5"/>
    <m/>
    <n v="7.9"/>
  </r>
  <r>
    <x v="34"/>
    <x v="6"/>
    <x v="0"/>
    <x v="3"/>
    <m/>
    <n v="15.5"/>
  </r>
  <r>
    <x v="34"/>
    <x v="6"/>
    <x v="0"/>
    <x v="16"/>
    <m/>
    <n v="5.2"/>
  </r>
  <r>
    <x v="34"/>
    <x v="6"/>
    <x v="0"/>
    <x v="9"/>
    <m/>
    <n v="5"/>
  </r>
  <r>
    <x v="35"/>
    <x v="0"/>
    <x v="0"/>
    <x v="5"/>
    <m/>
    <n v="18.5"/>
  </r>
  <r>
    <x v="35"/>
    <x v="0"/>
    <x v="0"/>
    <x v="3"/>
    <m/>
    <n v="17.5"/>
  </r>
  <r>
    <x v="36"/>
    <x v="1"/>
    <x v="0"/>
    <x v="5"/>
    <m/>
    <n v="12.2"/>
  </r>
  <r>
    <x v="36"/>
    <x v="1"/>
    <x v="0"/>
    <x v="8"/>
    <m/>
    <n v="12.7"/>
  </r>
  <r>
    <x v="36"/>
    <x v="1"/>
    <x v="0"/>
    <x v="9"/>
    <m/>
    <n v="4"/>
  </r>
  <r>
    <x v="36"/>
    <x v="1"/>
    <x v="6"/>
    <x v="13"/>
    <m/>
    <n v="220"/>
  </r>
  <r>
    <x v="36"/>
    <x v="1"/>
    <x v="2"/>
    <x v="2"/>
    <m/>
    <n v="80"/>
  </r>
  <r>
    <x v="37"/>
    <x v="2"/>
    <x v="1"/>
    <x v="11"/>
    <m/>
    <n v="29.9"/>
  </r>
  <r>
    <x v="37"/>
    <x v="2"/>
    <x v="0"/>
    <x v="8"/>
    <m/>
    <n v="1.7"/>
  </r>
  <r>
    <x v="37"/>
    <x v="2"/>
    <x v="0"/>
    <x v="5"/>
    <m/>
    <n v="17.600000000000001"/>
  </r>
  <r>
    <x v="37"/>
    <x v="2"/>
    <x v="0"/>
    <x v="3"/>
    <m/>
    <n v="21.1"/>
  </r>
  <r>
    <x v="38"/>
    <x v="3"/>
    <x v="0"/>
    <x v="8"/>
    <m/>
    <n v="4.5"/>
  </r>
  <r>
    <x v="38"/>
    <x v="3"/>
    <x v="0"/>
    <x v="5"/>
    <m/>
    <n v="13.5"/>
  </r>
  <r>
    <x v="38"/>
    <x v="3"/>
    <x v="0"/>
    <x v="3"/>
    <m/>
    <n v="16.899999999999999"/>
  </r>
  <r>
    <x v="39"/>
    <x v="4"/>
    <x v="0"/>
    <x v="25"/>
    <m/>
    <n v="18.899999999999999"/>
  </r>
  <r>
    <x v="39"/>
    <x v="4"/>
    <x v="0"/>
    <x v="3"/>
    <m/>
    <n v="17.399999999999999"/>
  </r>
  <r>
    <x v="40"/>
    <x v="5"/>
    <x v="0"/>
    <x v="25"/>
    <m/>
    <n v="14.3"/>
  </r>
  <r>
    <x v="40"/>
    <x v="5"/>
    <x v="0"/>
    <x v="3"/>
    <m/>
    <n v="25"/>
  </r>
  <r>
    <x v="41"/>
    <x v="6"/>
    <x v="0"/>
    <x v="5"/>
    <m/>
    <n v="10"/>
  </r>
  <r>
    <x v="41"/>
    <x v="6"/>
    <x v="0"/>
    <x v="3"/>
    <m/>
    <n v="16.7"/>
  </r>
  <r>
    <x v="41"/>
    <x v="6"/>
    <x v="0"/>
    <x v="16"/>
    <m/>
    <n v="7.7"/>
  </r>
  <r>
    <x v="42"/>
    <x v="0"/>
    <x v="0"/>
    <x v="8"/>
    <m/>
    <n v="6.6"/>
  </r>
  <r>
    <x v="42"/>
    <x v="0"/>
    <x v="0"/>
    <x v="5"/>
    <m/>
    <n v="18.5"/>
  </r>
  <r>
    <x v="42"/>
    <x v="0"/>
    <x v="0"/>
    <x v="3"/>
    <m/>
    <n v="15"/>
  </r>
  <r>
    <x v="42"/>
    <x v="0"/>
    <x v="7"/>
    <x v="14"/>
    <s v="baking soda"/>
    <n v="4.5999999999999996"/>
  </r>
  <r>
    <x v="42"/>
    <x v="0"/>
    <x v="7"/>
    <x v="14"/>
    <s v="hydrogen peroxide"/>
    <n v="9.9"/>
  </r>
  <r>
    <x v="42"/>
    <x v="0"/>
    <x v="7"/>
    <x v="14"/>
    <s v="guitar strap"/>
    <n v="25"/>
  </r>
  <r>
    <x v="42"/>
    <x v="0"/>
    <x v="7"/>
    <x v="14"/>
    <s v="Brush"/>
    <n v="7.9"/>
  </r>
  <r>
    <x v="43"/>
    <x v="1"/>
    <x v="0"/>
    <x v="8"/>
    <m/>
    <n v="19.5"/>
  </r>
  <r>
    <x v="43"/>
    <x v="1"/>
    <x v="0"/>
    <x v="5"/>
    <m/>
    <n v="12.8"/>
  </r>
  <r>
    <x v="43"/>
    <x v="1"/>
    <x v="0"/>
    <x v="3"/>
    <m/>
    <n v="12.6"/>
  </r>
  <r>
    <x v="43"/>
    <x v="1"/>
    <x v="0"/>
    <x v="9"/>
    <m/>
    <n v="7.7"/>
  </r>
  <r>
    <x v="43"/>
    <x v="1"/>
    <x v="3"/>
    <x v="7"/>
    <m/>
    <n v="51.5"/>
  </r>
  <r>
    <x v="44"/>
    <x v="2"/>
    <x v="0"/>
    <x v="5"/>
    <m/>
    <n v="13.3"/>
  </r>
  <r>
    <x v="44"/>
    <x v="2"/>
    <x v="0"/>
    <x v="3"/>
    <m/>
    <n v="9.9"/>
  </r>
  <r>
    <x v="45"/>
    <x v="3"/>
    <x v="0"/>
    <x v="25"/>
    <m/>
    <n v="18.899999999999999"/>
  </r>
  <r>
    <x v="45"/>
    <x v="3"/>
    <x v="0"/>
    <x v="3"/>
    <m/>
    <n v="30"/>
  </r>
  <r>
    <x v="46"/>
    <x v="4"/>
    <x v="0"/>
    <x v="5"/>
    <m/>
    <n v="15"/>
  </r>
  <r>
    <x v="46"/>
    <x v="4"/>
    <x v="0"/>
    <x v="3"/>
    <m/>
    <n v="18.28"/>
  </r>
  <r>
    <x v="46"/>
    <x v="4"/>
    <x v="3"/>
    <x v="20"/>
    <m/>
    <n v="1"/>
  </r>
  <r>
    <x v="47"/>
    <x v="5"/>
    <x v="0"/>
    <x v="25"/>
    <m/>
    <n v="15.3"/>
  </r>
  <r>
    <x v="47"/>
    <x v="5"/>
    <x v="0"/>
    <x v="3"/>
    <m/>
    <n v="21.7"/>
  </r>
  <r>
    <x v="47"/>
    <x v="5"/>
    <x v="1"/>
    <x v="24"/>
    <m/>
    <n v="10"/>
  </r>
  <r>
    <x v="47"/>
    <x v="5"/>
    <x v="2"/>
    <x v="15"/>
    <m/>
    <n v="7.15"/>
  </r>
  <r>
    <x v="48"/>
    <x v="6"/>
    <x v="0"/>
    <x v="4"/>
    <m/>
    <n v="1.6"/>
  </r>
  <r>
    <x v="48"/>
    <x v="6"/>
    <x v="0"/>
    <x v="5"/>
    <m/>
    <n v="10"/>
  </r>
  <r>
    <x v="48"/>
    <x v="6"/>
    <x v="0"/>
    <x v="3"/>
    <m/>
    <n v="13.5"/>
  </r>
  <r>
    <x v="49"/>
    <x v="0"/>
    <x v="0"/>
    <x v="8"/>
    <m/>
    <n v="17.3"/>
  </r>
  <r>
    <x v="49"/>
    <x v="0"/>
    <x v="0"/>
    <x v="5"/>
    <m/>
    <n v="10"/>
  </r>
  <r>
    <x v="49"/>
    <x v="0"/>
    <x v="4"/>
    <x v="10"/>
    <m/>
    <n v="52"/>
  </r>
  <r>
    <x v="49"/>
    <x v="0"/>
    <x v="4"/>
    <x v="28"/>
    <m/>
    <n v="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C9D6C1-FDD2-44AC-8FAE-18F249661EC0}" name="PivotTable2"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2">
  <location ref="B64:C93" firstHeaderRow="1" firstDataRow="1" firstDataCol="1"/>
  <pivotFields count="6">
    <pivotField compact="0" numFmtId="14" outline="0"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compact="0" outline="0" showAll="0">
      <items count="8">
        <item x="1"/>
        <item x="2"/>
        <item x="3"/>
        <item x="4"/>
        <item x="5"/>
        <item x="6"/>
        <item x="0"/>
        <item t="default"/>
      </items>
    </pivotField>
    <pivotField compact="0" outline="0" showAll="0">
      <items count="13">
        <item x="8"/>
        <item x="0"/>
        <item x="9"/>
        <item x="2"/>
        <item x="5"/>
        <item x="6"/>
        <item x="4"/>
        <item x="7"/>
        <item m="1" x="10"/>
        <item x="1"/>
        <item x="3"/>
        <item m="1" x="11"/>
        <item t="default"/>
      </items>
    </pivotField>
    <pivotField axis="axisRow" compact="0" outline="0" showAll="0" sortType="ascending">
      <items count="31">
        <item x="14"/>
        <item x="8"/>
        <item x="25"/>
        <item x="0"/>
        <item x="2"/>
        <item x="3"/>
        <item x="22"/>
        <item x="17"/>
        <item x="27"/>
        <item x="13"/>
        <item x="10"/>
        <item x="21"/>
        <item x="23"/>
        <item x="18"/>
        <item x="5"/>
        <item x="4"/>
        <item x="19"/>
        <item x="11"/>
        <item x="6"/>
        <item x="7"/>
        <item x="12"/>
        <item x="9"/>
        <item x="16"/>
        <item x="20"/>
        <item x="15"/>
        <item x="24"/>
        <item x="1"/>
        <item h="1" m="1" x="29"/>
        <item x="28"/>
        <item x="26"/>
        <item t="default"/>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1">
    <field x="3"/>
  </rowFields>
  <rowItems count="29">
    <i>
      <x v="12"/>
    </i>
    <i>
      <x v="23"/>
    </i>
    <i>
      <x v="25"/>
    </i>
    <i>
      <x v="6"/>
    </i>
    <i>
      <x v="24"/>
    </i>
    <i>
      <x v="22"/>
    </i>
    <i>
      <x v="2"/>
    </i>
    <i>
      <x v="26"/>
    </i>
    <i>
      <x v="18"/>
    </i>
    <i>
      <x v="20"/>
    </i>
    <i>
      <x v="8"/>
    </i>
    <i>
      <x v="17"/>
    </i>
    <i>
      <x/>
    </i>
    <i>
      <x v="21"/>
    </i>
    <i>
      <x v="16"/>
    </i>
    <i>
      <x v="10"/>
    </i>
    <i>
      <x v="15"/>
    </i>
    <i>
      <x v="4"/>
    </i>
    <i>
      <x v="13"/>
    </i>
    <i>
      <x v="1"/>
    </i>
    <i>
      <x v="3"/>
    </i>
    <i>
      <x v="19"/>
    </i>
    <i>
      <x v="7"/>
    </i>
    <i>
      <x v="29"/>
    </i>
    <i>
      <x v="9"/>
    </i>
    <i>
      <x v="14"/>
    </i>
    <i>
      <x v="11"/>
    </i>
    <i>
      <x v="5"/>
    </i>
    <i t="grand">
      <x/>
    </i>
  </rowItems>
  <colItems count="1">
    <i/>
  </colItems>
  <dataFields count="1">
    <dataField name="Sum of Amount (RM)" fld="5" baseField="0" baseItem="0"/>
  </dataFields>
  <formats count="9">
    <format dxfId="25">
      <pivotArea type="all" dataOnly="0" outline="0" fieldPosition="0"/>
    </format>
    <format dxfId="24">
      <pivotArea outline="0" collapsedLevelsAreSubtotals="1" fieldPosition="0"/>
    </format>
    <format dxfId="23">
      <pivotArea field="3" type="button" dataOnly="0" labelOnly="1" outline="0" axis="axisRow" fieldPosition="0"/>
    </format>
    <format dxfId="22">
      <pivotArea dataOnly="0" labelOnly="1" outline="0" fieldPosition="0">
        <references count="1">
          <reference field="3" count="0"/>
        </references>
      </pivotArea>
    </format>
    <format dxfId="21">
      <pivotArea dataOnly="0" labelOnly="1" grandRow="1" outline="0" fieldPosition="0"/>
    </format>
    <format dxfId="20">
      <pivotArea dataOnly="0" labelOnly="1" outline="0" axis="axisValues" fieldPosition="0"/>
    </format>
    <format dxfId="19">
      <pivotArea dataOnly="0" labelOnly="1" outline="0" axis="axisValues" fieldPosition="0"/>
    </format>
    <format dxfId="18">
      <pivotArea field="3" type="button" dataOnly="0" labelOnly="1" outline="0" axis="axisRow" fieldPosition="0"/>
    </format>
    <format dxfId="1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358" name="Date">
      <autoFilter ref="A1">
        <filterColumn colId="0">
          <customFilters and="1">
            <customFilter operator="greaterThanOrEqual" val="46235"/>
            <customFilter operator="lessThanOrEqual" val="462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6BD9AA-66A8-4832-962E-18E58649FFB7}" name="PivotTable1"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21">
  <location ref="B32:D43" firstHeaderRow="1" firstDataRow="1" firstDataCol="2"/>
  <pivotFields count="6">
    <pivotField compact="0" numFmtId="14" outline="0"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compact="0" outline="0" showAll="0">
      <items count="8">
        <item x="1"/>
        <item x="2"/>
        <item x="3"/>
        <item x="4"/>
        <item x="5"/>
        <item x="6"/>
        <item x="0"/>
        <item t="default"/>
      </items>
    </pivotField>
    <pivotField axis="axisRow" compact="0" outline="0" showAll="0">
      <items count="13">
        <item sd="0" x="0"/>
        <item sd="0" x="2"/>
        <item sd="0" x="3"/>
        <item sd="0" m="1" x="11"/>
        <item sd="0" x="4"/>
        <item sd="0" x="5"/>
        <item sd="0" x="6"/>
        <item sd="0" x="7"/>
        <item sd="0" x="8"/>
        <item sd="0" x="9"/>
        <item sd="0" m="1" x="10"/>
        <item sd="0" x="1"/>
        <item t="default" sd="0"/>
      </items>
    </pivotField>
    <pivotField axis="axisRow" compact="0" outline="0" showAll="0">
      <items count="31">
        <item x="2"/>
        <item x="3"/>
        <item x="5"/>
        <item x="4"/>
        <item x="6"/>
        <item m="1" x="29"/>
        <item x="7"/>
        <item x="8"/>
        <item x="9"/>
        <item x="10"/>
        <item x="12"/>
        <item x="13"/>
        <item x="0"/>
        <item x="14"/>
        <item x="15"/>
        <item x="16"/>
        <item x="17"/>
        <item x="18"/>
        <item x="19"/>
        <item x="20"/>
        <item x="21"/>
        <item x="22"/>
        <item x="25"/>
        <item x="27"/>
        <item x="11"/>
        <item x="23"/>
        <item x="24"/>
        <item x="1"/>
        <item x="28"/>
        <item x="26"/>
        <item t="default"/>
      </items>
    </pivotField>
    <pivotField compact="0" outline="0" showAll="0"/>
    <pivotField dataField="1" compact="0" outline="0" showAll="0"/>
  </pivotFields>
  <rowFields count="2">
    <field x="2"/>
    <field x="3"/>
  </rowFields>
  <rowItems count="11">
    <i>
      <x/>
    </i>
    <i>
      <x v="1"/>
    </i>
    <i>
      <x v="2"/>
    </i>
    <i>
      <x v="4"/>
    </i>
    <i>
      <x v="5"/>
    </i>
    <i>
      <x v="6"/>
    </i>
    <i>
      <x v="7"/>
    </i>
    <i>
      <x v="8"/>
    </i>
    <i>
      <x v="9"/>
    </i>
    <i>
      <x v="11"/>
    </i>
    <i t="grand">
      <x/>
    </i>
  </rowItems>
  <colItems count="1">
    <i/>
  </colItems>
  <dataFields count="1">
    <dataField name="Sum of Amount (RM)" fld="5" baseField="0" baseItem="0"/>
  </dataFields>
  <formats count="8">
    <format dxfId="33">
      <pivotArea outline="0" fieldPosition="0">
        <references count="1">
          <reference field="2" count="0" selected="0"/>
        </references>
      </pivotArea>
    </format>
    <format dxfId="32">
      <pivotArea type="all" dataOnly="0" outline="0" fieldPosition="0"/>
    </format>
    <format dxfId="31">
      <pivotArea outline="0" collapsedLevelsAreSubtotals="1" fieldPosition="0"/>
    </format>
    <format dxfId="30">
      <pivotArea field="2" type="button" dataOnly="0" labelOnly="1" outline="0" axis="axisRow" fieldPosition="0"/>
    </format>
    <format dxfId="29">
      <pivotArea field="3" type="button" dataOnly="0" labelOnly="1" outline="0" axis="axisRow" fieldPosition="1"/>
    </format>
    <format dxfId="28">
      <pivotArea dataOnly="0" labelOnly="1" outline="0" fieldPosition="0">
        <references count="1">
          <reference field="2" count="0"/>
        </references>
      </pivotArea>
    </format>
    <format dxfId="27">
      <pivotArea dataOnly="0" labelOnly="1" grandRow="1" outline="0" fieldPosition="0"/>
    </format>
    <format dxfId="26">
      <pivotArea dataOnly="0" labelOnly="1" outline="0" axis="axisValues" fieldPosition="0"/>
    </format>
  </formats>
  <chartFormats count="41">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2" count="1" selected="0">
            <x v="4"/>
          </reference>
          <reference field="3" count="1" selected="0">
            <x v="9"/>
          </reference>
        </references>
      </pivotArea>
    </chartFormat>
    <chartFormat chart="0" format="2">
      <pivotArea type="data" outline="0" fieldPosition="0">
        <references count="3">
          <reference field="4294967294" count="1" selected="0">
            <x v="0"/>
          </reference>
          <reference field="2" count="1" selected="0">
            <x v="0"/>
          </reference>
          <reference field="3" count="1" selected="0">
            <x v="1"/>
          </reference>
        </references>
      </pivotArea>
    </chartFormat>
    <chartFormat chart="0" format="3">
      <pivotArea type="data" outline="0" fieldPosition="0">
        <references count="3">
          <reference field="4294967294" count="1" selected="0">
            <x v="0"/>
          </reference>
          <reference field="2" count="1" selected="0">
            <x v="0"/>
          </reference>
          <reference field="3" count="1" selected="0">
            <x v="2"/>
          </reference>
        </references>
      </pivotArea>
    </chartFormat>
    <chartFormat chart="0" format="4">
      <pivotArea type="data" outline="0" fieldPosition="0">
        <references count="3">
          <reference field="4294967294" count="1" selected="0">
            <x v="0"/>
          </reference>
          <reference field="2" count="1" selected="0">
            <x v="0"/>
          </reference>
          <reference field="3" count="1" selected="0">
            <x v="3"/>
          </reference>
        </references>
      </pivotArea>
    </chartFormat>
    <chartFormat chart="0" format="5">
      <pivotArea type="data" outline="0" fieldPosition="0">
        <references count="3">
          <reference field="4294967294" count="1" selected="0">
            <x v="0"/>
          </reference>
          <reference field="2" count="1" selected="0">
            <x v="0"/>
          </reference>
          <reference field="3" count="1" selected="0">
            <x v="7"/>
          </reference>
        </references>
      </pivotArea>
    </chartFormat>
    <chartFormat chart="0" format="6">
      <pivotArea type="data" outline="0" fieldPosition="0">
        <references count="3">
          <reference field="4294967294" count="1" selected="0">
            <x v="0"/>
          </reference>
          <reference field="2" count="1" selected="0">
            <x v="0"/>
          </reference>
          <reference field="3" count="1" selected="0">
            <x v="8"/>
          </reference>
        </references>
      </pivotArea>
    </chartFormat>
    <chartFormat chart="0" format="7">
      <pivotArea type="data" outline="0" fieldPosition="0">
        <references count="3">
          <reference field="4294967294" count="1" selected="0">
            <x v="0"/>
          </reference>
          <reference field="2" count="1" selected="0">
            <x v="1"/>
          </reference>
          <reference field="3" count="1" selected="0">
            <x v="0"/>
          </reference>
        </references>
      </pivotArea>
    </chartFormat>
    <chartFormat chart="0" format="8">
      <pivotArea type="data" outline="0" fieldPosition="0">
        <references count="3">
          <reference field="4294967294" count="1" selected="0">
            <x v="0"/>
          </reference>
          <reference field="2" count="1" selected="0">
            <x v="2"/>
          </reference>
          <reference field="3" count="1" selected="0">
            <x v="4"/>
          </reference>
        </references>
      </pivotArea>
    </chartFormat>
    <chartFormat chart="0" format="9">
      <pivotArea type="data" outline="0" fieldPosition="0">
        <references count="3">
          <reference field="4294967294" count="1" selected="0">
            <x v="0"/>
          </reference>
          <reference field="2" count="1" selected="0">
            <x v="2"/>
          </reference>
          <reference field="3" count="1" selected="0">
            <x v="6"/>
          </reference>
        </references>
      </pivotArea>
    </chartFormat>
    <chartFormat chart="0" format="10">
      <pivotArea type="data" outline="0" fieldPosition="0">
        <references count="3">
          <reference field="4294967294" count="1" selected="0">
            <x v="0"/>
          </reference>
          <reference field="2" count="1" selected="0">
            <x v="3"/>
          </reference>
          <reference field="3" count="1" selected="0">
            <x v="5"/>
          </reference>
        </references>
      </pivotArea>
    </chartFormat>
    <chartFormat chart="0" format="11">
      <pivotArea type="data" outline="0" fieldPosition="0">
        <references count="3">
          <reference field="4294967294" count="1" selected="0">
            <x v="0"/>
          </reference>
          <reference field="2" count="1" selected="0">
            <x v="5"/>
          </reference>
          <reference field="3" count="1" selected="0">
            <x v="10"/>
          </reference>
        </references>
      </pivotArea>
    </chartFormat>
    <chartFormat chart="0" format="12">
      <pivotArea type="data" outline="0" fieldPosition="0">
        <references count="3">
          <reference field="4294967294" count="1" selected="0">
            <x v="0"/>
          </reference>
          <reference field="2" count="1" selected="0">
            <x v="6"/>
          </reference>
          <reference field="3" count="1" selected="0">
            <x v="11"/>
          </reference>
        </references>
      </pivotArea>
    </chartFormat>
    <chartFormat chart="0" format="13">
      <pivotArea type="data" outline="0" fieldPosition="0">
        <references count="3">
          <reference field="4294967294" count="1" selected="0">
            <x v="0"/>
          </reference>
          <reference field="2" count="1" selected="0">
            <x v="7"/>
          </reference>
          <reference field="3" count="1" selected="0">
            <x v="13"/>
          </reference>
        </references>
      </pivotArea>
    </chartFormat>
    <chartFormat chart="0" format="14">
      <pivotArea type="data" outline="0" fieldPosition="0">
        <references count="3">
          <reference field="4294967294" count="1" selected="0">
            <x v="0"/>
          </reference>
          <reference field="2" count="1" selected="0">
            <x v="1"/>
          </reference>
          <reference field="3" count="1" selected="0">
            <x v="16"/>
          </reference>
        </references>
      </pivotArea>
    </chartFormat>
    <chartFormat chart="0" format="15">
      <pivotArea type="data" outline="0" fieldPosition="0">
        <references count="3">
          <reference field="4294967294" count="1" selected="0">
            <x v="0"/>
          </reference>
          <reference field="2" count="1" selected="0">
            <x v="1"/>
          </reference>
          <reference field="3" count="1" selected="0">
            <x v="17"/>
          </reference>
        </references>
      </pivotArea>
    </chartFormat>
    <chartFormat chart="0" format="16">
      <pivotArea type="data" outline="0" fieldPosition="0">
        <references count="3">
          <reference field="4294967294" count="1" selected="0">
            <x v="0"/>
          </reference>
          <reference field="2" count="1" selected="0">
            <x v="1"/>
          </reference>
          <reference field="3" count="1" selected="0">
            <x v="14"/>
          </reference>
        </references>
      </pivotArea>
    </chartFormat>
    <chartFormat chart="0" format="17">
      <pivotArea type="data" outline="0" fieldPosition="0">
        <references count="3">
          <reference field="4294967294" count="1" selected="0">
            <x v="0"/>
          </reference>
          <reference field="2" count="1" selected="0">
            <x v="0"/>
          </reference>
          <reference field="3" count="1" selected="0">
            <x v="15"/>
          </reference>
        </references>
      </pivotArea>
    </chartFormat>
    <chartFormat chart="0" format="18">
      <pivotArea type="data" outline="0" fieldPosition="0">
        <references count="3">
          <reference field="4294967294" count="1" selected="0">
            <x v="0"/>
          </reference>
          <reference field="2" count="1" selected="0">
            <x v="0"/>
          </reference>
          <reference field="3" count="1" selected="0">
            <x v="12"/>
          </reference>
        </references>
      </pivotArea>
    </chartFormat>
    <chartFormat chart="0" format="19">
      <pivotArea type="data" outline="0" fieldPosition="0">
        <references count="2">
          <reference field="4294967294" count="1" selected="0">
            <x v="0"/>
          </reference>
          <reference field="2" count="1" selected="0">
            <x v="9"/>
          </reference>
        </references>
      </pivotArea>
    </chartFormat>
    <chartFormat chart="0" format="20">
      <pivotArea type="data" outline="0" fieldPosition="0">
        <references count="2">
          <reference field="4294967294" count="1" selected="0">
            <x v="0"/>
          </reference>
          <reference field="2" count="1" selected="0">
            <x v="0"/>
          </reference>
        </references>
      </pivotArea>
    </chartFormat>
    <chartFormat chart="0" format="21">
      <pivotArea type="data" outline="0" fieldPosition="0">
        <references count="2">
          <reference field="4294967294" count="1" selected="0">
            <x v="0"/>
          </reference>
          <reference field="2" count="1" selected="0">
            <x v="1"/>
          </reference>
        </references>
      </pivotArea>
    </chartFormat>
    <chartFormat chart="0" format="22">
      <pivotArea type="data" outline="0" fieldPosition="0">
        <references count="2">
          <reference field="4294967294" count="1" selected="0">
            <x v="0"/>
          </reference>
          <reference field="2" count="1" selected="0">
            <x v="2"/>
          </reference>
        </references>
      </pivotArea>
    </chartFormat>
    <chartFormat chart="0" format="23">
      <pivotArea type="data" outline="0" fieldPosition="0">
        <references count="2">
          <reference field="4294967294" count="1" selected="0">
            <x v="0"/>
          </reference>
          <reference field="2" count="1" selected="0">
            <x v="4"/>
          </reference>
        </references>
      </pivotArea>
    </chartFormat>
    <chartFormat chart="0" format="24">
      <pivotArea type="data" outline="0" fieldPosition="0">
        <references count="2">
          <reference field="4294967294" count="1" selected="0">
            <x v="0"/>
          </reference>
          <reference field="2" count="1" selected="0">
            <x v="5"/>
          </reference>
        </references>
      </pivotArea>
    </chartFormat>
    <chartFormat chart="0" format="25">
      <pivotArea type="data" outline="0" fieldPosition="0">
        <references count="2">
          <reference field="4294967294" count="1" selected="0">
            <x v="0"/>
          </reference>
          <reference field="2" count="1" selected="0">
            <x v="6"/>
          </reference>
        </references>
      </pivotArea>
    </chartFormat>
    <chartFormat chart="0" format="26">
      <pivotArea type="data" outline="0" fieldPosition="0">
        <references count="2">
          <reference field="4294967294" count="1" selected="0">
            <x v="0"/>
          </reference>
          <reference field="2" count="1" selected="0">
            <x v="8"/>
          </reference>
        </references>
      </pivotArea>
    </chartFormat>
    <chartFormat chart="0" format="27">
      <pivotArea type="data" outline="0" fieldPosition="0">
        <references count="2">
          <reference field="4294967294" count="1" selected="0">
            <x v="0"/>
          </reference>
          <reference field="2" count="1" selected="0">
            <x v="7"/>
          </reference>
        </references>
      </pivotArea>
    </chartFormat>
    <chartFormat chart="0" format="28">
      <pivotArea type="data" outline="0" fieldPosition="0">
        <references count="3">
          <reference field="4294967294" count="1" selected="0">
            <x v="0"/>
          </reference>
          <reference field="2" count="1" selected="0">
            <x v="10"/>
          </reference>
          <reference field="3" count="1" selected="0">
            <x v="26"/>
          </reference>
        </references>
      </pivotArea>
    </chartFormat>
    <chartFormat chart="0" format="29">
      <pivotArea type="data" outline="0" fieldPosition="0">
        <references count="3">
          <reference field="4294967294" count="1" selected="0">
            <x v="0"/>
          </reference>
          <reference field="2" count="1" selected="0">
            <x v="10"/>
          </reference>
          <reference field="3" count="1" selected="0">
            <x v="25"/>
          </reference>
        </references>
      </pivotArea>
    </chartFormat>
    <chartFormat chart="0" format="30">
      <pivotArea type="data" outline="0" fieldPosition="0">
        <references count="3">
          <reference field="4294967294" count="1" selected="0">
            <x v="0"/>
          </reference>
          <reference field="2" count="1" selected="0">
            <x v="10"/>
          </reference>
          <reference field="3" count="1" selected="0">
            <x v="24"/>
          </reference>
        </references>
      </pivotArea>
    </chartFormat>
    <chartFormat chart="0" format="31">
      <pivotArea type="data" outline="0" fieldPosition="0">
        <references count="3">
          <reference field="4294967294" count="1" selected="0">
            <x v="0"/>
          </reference>
          <reference field="2" count="1" selected="0">
            <x v="9"/>
          </reference>
          <reference field="3" count="1" selected="0">
            <x v="21"/>
          </reference>
        </references>
      </pivotArea>
    </chartFormat>
    <chartFormat chart="0" format="32">
      <pivotArea type="data" outline="0" fieldPosition="0">
        <references count="3">
          <reference field="4294967294" count="1" selected="0">
            <x v="0"/>
          </reference>
          <reference field="2" count="1" selected="0">
            <x v="9"/>
          </reference>
          <reference field="3" count="1" selected="0">
            <x v="20"/>
          </reference>
        </references>
      </pivotArea>
    </chartFormat>
    <chartFormat chart="0" format="33">
      <pivotArea type="data" outline="0" fieldPosition="0">
        <references count="3">
          <reference field="4294967294" count="1" selected="0">
            <x v="0"/>
          </reference>
          <reference field="2" count="1" selected="0">
            <x v="8"/>
          </reference>
          <reference field="3" count="1" selected="0">
            <x v="18"/>
          </reference>
        </references>
      </pivotArea>
    </chartFormat>
    <chartFormat chart="0" format="34">
      <pivotArea type="data" outline="0" fieldPosition="0">
        <references count="3">
          <reference field="4294967294" count="1" selected="0">
            <x v="0"/>
          </reference>
          <reference field="2" count="1" selected="0">
            <x v="7"/>
          </reference>
          <reference field="3" count="1" selected="0">
            <x v="23"/>
          </reference>
        </references>
      </pivotArea>
    </chartFormat>
    <chartFormat chart="0" format="35">
      <pivotArea type="data" outline="0" fieldPosition="0">
        <references count="2">
          <reference field="4294967294" count="1" selected="0">
            <x v="0"/>
          </reference>
          <reference field="2" count="1" selected="0">
            <x v="10"/>
          </reference>
        </references>
      </pivotArea>
    </chartFormat>
    <chartFormat chart="0" format="36">
      <pivotArea type="data" outline="0" fieldPosition="0">
        <references count="2">
          <reference field="4294967294" count="1" selected="0">
            <x v="0"/>
          </reference>
          <reference field="2" count="1" selected="0">
            <x v="3"/>
          </reference>
        </references>
      </pivotArea>
    </chartFormat>
    <chartFormat chart="0" format="37">
      <pivotArea type="data" outline="0" fieldPosition="0">
        <references count="3">
          <reference field="4294967294" count="1" selected="0">
            <x v="0"/>
          </reference>
          <reference field="2" count="1" selected="0">
            <x v="11"/>
          </reference>
          <reference field="3" count="1" selected="0">
            <x v="24"/>
          </reference>
        </references>
      </pivotArea>
    </chartFormat>
    <chartFormat chart="0" format="38">
      <pivotArea type="data" outline="0" fieldPosition="0">
        <references count="3">
          <reference field="4294967294" count="1" selected="0">
            <x v="0"/>
          </reference>
          <reference field="2" count="1" selected="0">
            <x v="11"/>
          </reference>
          <reference field="3" count="1" selected="0">
            <x v="26"/>
          </reference>
        </references>
      </pivotArea>
    </chartFormat>
    <chartFormat chart="0" format="39">
      <pivotArea type="data" outline="0" fieldPosition="0">
        <references count="3">
          <reference field="4294967294" count="1" selected="0">
            <x v="0"/>
          </reference>
          <reference field="2" count="1" selected="0">
            <x v="11"/>
          </reference>
          <reference field="3" count="1" selected="0">
            <x v="27"/>
          </reference>
        </references>
      </pivotArea>
    </chartFormat>
    <chartFormat chart="0" format="40">
      <pivotArea type="data" outline="0" fieldPosition="0">
        <references count="2">
          <reference field="4294967294" count="1" selected="0">
            <x v="0"/>
          </reference>
          <reference field="2" count="1" selected="0">
            <x v="11"/>
          </reference>
        </references>
      </pivotArea>
    </chartFormat>
  </chartFormats>
  <pivotTableStyleInfo name="PivotStyleLight16" showRowHeaders="1" showColHeaders="1" showRowStripes="1" showColStripes="0" showLastColumn="1"/>
  <filters count="1">
    <filter fld="0" type="dateBetween" evalOrder="-1" id="358" name="Date">
      <autoFilter ref="A1">
        <filterColumn colId="0">
          <customFilters and="1">
            <customFilter operator="greaterThanOrEqual" val="46235"/>
            <customFilter operator="lessThanOrEqual" val="462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1F983D73-C680-448A-AB95-288FB4BA069E}" sourceName="Day">
  <pivotTables>
    <pivotTable tabId="3" name="PivotTable1"/>
    <pivotTable tabId="3" name="PivotTable2"/>
  </pivotTables>
  <data>
    <tabular pivotCacheId="102711246">
      <items count="7">
        <i x="1" s="1"/>
        <i x="2" s="1"/>
        <i x="3" s="1"/>
        <i x="4" s="1"/>
        <i x="5" s="1"/>
        <i x="6"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356EC27-DA96-4A03-99F9-5363E7B4FD56}" sourceName="Category">
  <pivotTables>
    <pivotTable tabId="3" name="PivotTable1"/>
    <pivotTable tabId="3" name="PivotTable2"/>
  </pivotTables>
  <data>
    <tabular pivotCacheId="102711246">
      <items count="12">
        <i x="0" s="1"/>
        <i x="2" s="1"/>
        <i x="6" s="1"/>
        <i x="4" s="1"/>
        <i x="7" s="1"/>
        <i x="1" s="1"/>
        <i x="3" s="1"/>
        <i x="8" s="1" nd="1"/>
        <i x="9" s="1" nd="1"/>
        <i x="5" s="1" nd="1"/>
        <i x="10"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xr10:uid="{32F234CA-6277-4B66-B7A8-B96EFE773AB7}" cache="Slicer_Day" caption="Day" rowHeight="257175"/>
  <slicer name="Category" xr10:uid="{EFE69AEE-04FB-4515-BC6B-9D326E4925E1}" cache="Slicer_Category" caption="Category" startItem="7"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EE6CCF0-947E-4FE2-B9DA-1A8892ED75D0}" name="Savings" displayName="Savings" ref="A1:J6" totalsRowShown="0" headerRowDxfId="16" headerRowBorderDxfId="15" tableBorderDxfId="14">
  <autoFilter ref="A1:J6" xr:uid="{0EE6CCF0-947E-4FE2-B9DA-1A8892ED75D0}"/>
  <tableColumns count="10">
    <tableColumn id="1" xr3:uid="{35954503-6043-4817-8BF0-71F5B56FFA93}" name="Month"/>
    <tableColumn id="2" xr3:uid="{21028DC2-4634-499D-BA1C-0C6604C7E441}" name="Main Checking (RM)" dataDxfId="13"/>
    <tableColumn id="3" xr3:uid="{D2B6CE23-4D1D-40D2-A141-466FEB7CEB46}" name="GXBank (RM)" dataDxfId="12"/>
    <tableColumn id="6" xr3:uid="{A6634C01-E8F0-41E5-89E1-690B2148B66C}" name="GX Rate (%)" dataDxfId="11"/>
    <tableColumn id="9" xr3:uid="{0B6847C1-90A5-4FE3-B9D2-311EA48B622B}" name="RYT Bank (RM)" dataDxfId="10"/>
    <tableColumn id="8" xr3:uid="{50C6F893-DC52-42B3-B464-759632F837A7}" name="Ryt Rate (%)" dataDxfId="9"/>
    <tableColumn id="4" xr3:uid="{14AF27BD-87C0-4DC5-B28F-D75D163C0B4E}" name="EPF / Other - locked (RM)" dataDxfId="8"/>
    <tableColumn id="5" xr3:uid="{FA5B6AFD-923A-4B21-BFBE-34822C357B6E}" name="Total Liquid Savings (RM)" dataDxfId="7">
      <calculatedColumnFormula>Savings[[#This Row],[Main Checking (RM)]]+Savings[[#This Row],[GXBank (RM)]]+Savings[[#This Row],[RYT Bank (RM)]]</calculatedColumnFormula>
    </tableColumn>
    <tableColumn id="10" xr3:uid="{027215BB-66CF-4D5E-B7B2-655C48DF999A}" name="Est. Monthly Interest (RM)" dataDxfId="6">
      <calculatedColumnFormula>ROUND(
  (Savings[[#This Row],[GXBank (RM)]] * ((1 + Savings[[#This Row],[GX Rate (%)]]/365)^DAY(EOMONTH(Savings[[#This Row],[Month]], 0)) - 1)) +
  (Savings[[#This Row],[RYT Bank (RM)]] * ((1 + Savings[[#This Row],[Ryt Rate (%)]]/365)^DAY(EOMONTH(Savings[[#This Row],[Month]], 0)) - 1)),
2)</calculatedColumnFormula>
    </tableColumn>
    <tableColumn id="11" xr3:uid="{46473069-AB80-49D8-8E66-0ABF071C9199}" name="GX bank Earn for the Month" dataDxfId="5">
      <calculatedColumnFormula>ROUND(Savings[[#This Row],[GXBank (RM)]] * ((1 + Savings[[#This Row],[GX Rate (%)]]/365)^DAY(EOMONTH(Savings[[#This Row],[Month]], 0)) - 1), 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1DD5904-97B2-4524-82B4-EB1BF9E415D9}" name="Transaction" displayName="Transaction" ref="A1:G173" totalsRowShown="0" headerRowDxfId="4">
  <autoFilter ref="A1:G173" xr:uid="{C1DD5904-97B2-4524-82B4-EB1BF9E415D9}"/>
  <tableColumns count="7">
    <tableColumn id="1" xr3:uid="{19F1BFB5-1C0D-44BE-A7AB-3503DE4CAD76}" name="Date" dataDxfId="3"/>
    <tableColumn id="7" xr3:uid="{5B328ECC-0BAE-46A7-AF85-FEBA08C01339}" name="Day" dataDxfId="2">
      <calculatedColumnFormula>TEXT(Transaction[[#This Row],[Date]], "dddd")</calculatedColumnFormula>
    </tableColumn>
    <tableColumn id="5" xr3:uid="{F4E7585F-7DDC-4237-9F58-918B52886C5C}" name="Category" dataDxfId="1"/>
    <tableColumn id="2" xr3:uid="{9E5FF76D-77EB-433D-8A8A-FDD48DBAAA6A}" name="Tags"/>
    <tableColumn id="3" xr3:uid="{E1968B28-4F81-45BE-9286-9CAFAEFE79B3}" name="Description"/>
    <tableColumn id="4" xr3:uid="{C4253560-11D6-460D-8F5C-1D43C5D33E0E}" name="Amount (RM)" dataDxfId="0"/>
    <tableColumn id="6" xr3:uid="{81163AC2-7348-4BF2-9FC3-1A54860A0A5E}" name="One-of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459A834-116D-4EFA-9FE2-0FD8AB70E373}" sourceName="Date">
  <pivotTables>
    <pivotTable tabId="3" name="PivotTable1"/>
    <pivotTable tabId="3" name="PivotTable2"/>
  </pivotTables>
  <state minimalRefreshVersion="6" lastRefreshVersion="6" pivotCacheId="102711246" filterType="dateBetween">
    <selection startDate="2026-08-01T00:00:00" endDate="2026-08-31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F8471FF8-A973-451D-A3C0-F9A8ED162F89}" cache="NativeTimeline_Date" caption="Date" level="2" selectionLevel="2" scrollPosition="2026-05-18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97DA9-7F26-4C9C-AD95-9FD4FEAA3F73}">
  <sheetPr codeName="Sheet1"/>
  <dimension ref="A1:O96"/>
  <sheetViews>
    <sheetView tabSelected="1" topLeftCell="A4" zoomScaleNormal="100" workbookViewId="0">
      <selection activeCell="K16" sqref="K16"/>
    </sheetView>
  </sheetViews>
  <sheetFormatPr defaultRowHeight="15"/>
  <cols>
    <col min="1" max="1" width="12.85546875" customWidth="1"/>
    <col min="2" max="2" width="19.85546875" bestFit="1" customWidth="1"/>
    <col min="3" max="3" width="8" bestFit="1" customWidth="1"/>
    <col min="4" max="4" width="19.7109375" bestFit="1" customWidth="1"/>
    <col min="5" max="5" width="28.42578125" customWidth="1"/>
    <col min="6" max="7" width="19.42578125" customWidth="1"/>
    <col min="8" max="8" width="28.85546875" customWidth="1"/>
    <col min="10" max="10" width="23.140625" customWidth="1"/>
    <col min="11" max="11" width="21.28515625" customWidth="1"/>
    <col min="14" max="14" width="20.140625" customWidth="1"/>
  </cols>
  <sheetData>
    <row r="1" spans="1:15">
      <c r="B1" s="40" t="s">
        <v>77</v>
      </c>
    </row>
    <row r="2" spans="1:15">
      <c r="B2" s="24">
        <v>46235</v>
      </c>
    </row>
    <row r="4" spans="1:15" ht="18.75">
      <c r="A4" s="48"/>
      <c r="B4" s="34" t="s">
        <v>50</v>
      </c>
      <c r="C4" s="45"/>
      <c r="D4" s="45"/>
      <c r="E4" s="34" t="s">
        <v>51</v>
      </c>
      <c r="F4" s="45"/>
      <c r="G4" s="45"/>
      <c r="H4" s="36" t="s">
        <v>63</v>
      </c>
      <c r="I4" s="45"/>
      <c r="J4" s="45"/>
      <c r="K4" s="34" t="s">
        <v>52</v>
      </c>
      <c r="L4" s="51"/>
    </row>
    <row r="5" spans="1:15" ht="18.75">
      <c r="A5" s="49"/>
      <c r="B5" s="37">
        <f>SUMIFS(Transaction[Amount (RM)],Transaction[Date],"&gt;="&amp;$B$2,Transaction[Date],"&lt;"&amp;EDATE($B$2,1))</f>
        <v>2385.0600000000004</v>
      </c>
      <c r="C5" s="46"/>
      <c r="D5" s="46"/>
      <c r="E5" s="38">
        <f>SUMIFS(Transaction[Amount (RM)],Transaction[Category],"Food",Transaction[Date],"&gt;="&amp;$B$2,Transaction[Date],"&lt;"&amp;EDATE($B$2,1))</f>
        <v>1037.3100000000002</v>
      </c>
      <c r="F5" s="46"/>
      <c r="G5" s="46"/>
      <c r="H5" s="37">
        <f ca="1">SUMIFS(Transaction[Amount (RM)],Transaction[One-off?],"&lt;&gt;Y",Transaction[Date],"&gt;="&amp;$B$2,Transaction[Date],"&lt;"&amp;EDATE($B$2,1))/(MIN(EOMONTH($B$2,0),TODAY())-$B$2+1)</f>
        <v>66.647096774193543</v>
      </c>
      <c r="I5" s="46"/>
      <c r="J5" s="46"/>
      <c r="K5" s="37">
        <f>_xlfn.MAXIFS(Transaction[Amount (RM)],Transaction[Date],"&gt;="&amp;$B$2,Transaction[Date],"&lt;"&amp;EDATE($B$2,1))</f>
        <v>319</v>
      </c>
      <c r="L5" s="52"/>
    </row>
    <row r="6" spans="1:15">
      <c r="A6" s="50"/>
      <c r="B6" s="16"/>
      <c r="C6" s="47"/>
      <c r="D6" s="47"/>
      <c r="E6" s="16"/>
      <c r="F6" s="47"/>
      <c r="G6" s="47"/>
      <c r="H6" s="65" t="str">
        <f ca="1">IFERROR(H5/(SUMIFS(Transaction[Amount (RM)],Transaction[One-off?],"&lt;&gt;Y",Transaction[Date],"&gt;="&amp;EDATE($B$2,-1),Transaction[Date],"&lt;"&amp;$B$2)/DAY(EOMONTH($B$2,-1)))-1,"n/a")</f>
        <v>n/a</v>
      </c>
      <c r="I6" s="47"/>
      <c r="J6" s="47"/>
      <c r="K6" s="41" t="str">
        <f>INDEX(Transaction[Tags],MATCH(K5,Transaction[Amount (RM)],0))</f>
        <v>Hospital</v>
      </c>
      <c r="L6" s="53"/>
    </row>
    <row r="7" spans="1:15">
      <c r="A7" s="56"/>
      <c r="B7" s="55"/>
      <c r="C7" s="55"/>
      <c r="D7" s="55"/>
      <c r="E7" s="55"/>
      <c r="F7" s="55"/>
      <c r="G7" s="55"/>
      <c r="H7" s="55"/>
      <c r="I7" s="55"/>
      <c r="J7" s="55"/>
      <c r="K7" s="55"/>
      <c r="L7" s="57"/>
    </row>
    <row r="8" spans="1:15">
      <c r="A8" s="49"/>
      <c r="C8" s="46"/>
      <c r="D8" s="46"/>
      <c r="F8" s="46"/>
      <c r="G8" s="46"/>
      <c r="I8" s="46"/>
      <c r="J8" s="46"/>
      <c r="L8" s="54"/>
      <c r="M8" s="40"/>
    </row>
    <row r="9" spans="1:15" ht="15.75">
      <c r="A9" s="49"/>
      <c r="B9" s="35" t="s">
        <v>65</v>
      </c>
      <c r="C9" s="46"/>
      <c r="D9" s="46"/>
      <c r="E9" s="35" t="s">
        <v>64</v>
      </c>
      <c r="F9" s="46"/>
      <c r="G9" s="46"/>
      <c r="H9" s="35" t="s">
        <v>69</v>
      </c>
      <c r="I9" s="46"/>
      <c r="J9" s="46"/>
      <c r="K9" s="35" t="s">
        <v>66</v>
      </c>
      <c r="L9" s="54"/>
      <c r="M9" s="40"/>
      <c r="N9" t="s">
        <v>36</v>
      </c>
      <c r="O9" t="str">
        <f>IF(COUNTIFS(Transaction[Tags],N9,Transaction[Date],"&gt;="&amp;$B$2,Transaction[Date],"&lt;"&amp;EDATE($B$2,1))&gt;0,"Logged","MISSING")</f>
        <v>Logged</v>
      </c>
    </row>
    <row r="10" spans="1:15">
      <c r="A10" s="49"/>
      <c r="B10" s="39">
        <v>3500</v>
      </c>
      <c r="C10" s="46"/>
      <c r="D10" s="46"/>
      <c r="E10" s="39">
        <f>B10-(B10*K13)-B16-E16</f>
        <v>3090.85</v>
      </c>
      <c r="F10" s="46"/>
      <c r="G10" s="46"/>
      <c r="H10" s="39">
        <f>E10-B5</f>
        <v>705.78999999999951</v>
      </c>
      <c r="I10" s="46"/>
      <c r="J10" s="46"/>
      <c r="K10" s="42">
        <f>IFERROR(H10/E10,0)</f>
        <v>0.22834818900949561</v>
      </c>
      <c r="L10" s="54"/>
      <c r="M10" s="40"/>
      <c r="N10" t="s">
        <v>35</v>
      </c>
      <c r="O10" t="str">
        <f>IF(COUNTIFS(Transaction[Tags],N10,Transaction[Date],"&gt;="&amp;$B$2,Transaction[Date],"&lt;"&amp;EDATE($B$2,1))&gt;0,"Logged","MISSING")</f>
        <v>Logged</v>
      </c>
    </row>
    <row r="11" spans="1:15">
      <c r="A11" s="49"/>
      <c r="C11" s="46"/>
      <c r="D11" s="46"/>
      <c r="F11" s="46"/>
      <c r="G11" s="46"/>
      <c r="I11" s="46"/>
      <c r="J11" s="46"/>
      <c r="L11" s="54"/>
      <c r="M11" s="40"/>
      <c r="N11" t="s">
        <v>37</v>
      </c>
      <c r="O11" t="str">
        <f>IF(COUNTIFS(Transaction[Tags],N11,Transaction[Date],"&gt;="&amp;$B$2,Transaction[Date],"&lt;"&amp;EDATE($B$2,1))&gt;0,"Logged","MISSING")</f>
        <v>Logged</v>
      </c>
    </row>
    <row r="12" spans="1:15" ht="15.75">
      <c r="A12" s="49"/>
      <c r="B12" s="35" t="s">
        <v>62</v>
      </c>
      <c r="C12" s="46"/>
      <c r="D12" s="46"/>
      <c r="E12" s="35" t="s">
        <v>68</v>
      </c>
      <c r="F12" s="46"/>
      <c r="G12" s="46"/>
      <c r="H12" s="35" t="s">
        <v>67</v>
      </c>
      <c r="I12" s="46"/>
      <c r="J12" s="46"/>
      <c r="K12" s="35" t="s">
        <v>80</v>
      </c>
      <c r="L12" s="54"/>
      <c r="M12" s="40"/>
      <c r="N12" t="s">
        <v>48</v>
      </c>
      <c r="O12" t="str">
        <f>IF(COUNTIFS(Transaction[Tags],N12,Transaction[Date],"&gt;="&amp;$B$2,Transaction[Date],"&lt;"&amp;EDATE($B$2,1))&gt;0,"Logged","MISSING")</f>
        <v>Logged</v>
      </c>
    </row>
    <row r="13" spans="1:15">
      <c r="A13" s="49"/>
      <c r="B13" s="39">
        <f>SUMIFS(Savings[Total Liquid Savings (RM)],Savings[Month],$B$2)</f>
        <v>3558.62</v>
      </c>
      <c r="C13" s="46"/>
      <c r="D13" s="46"/>
      <c r="E13" s="67" t="str">
        <f>IF(OR(B13=0,SUMIFS(Savings[Total Liquid Savings (RM)],Savings[Month],EDATE($B$2,-1))=0),"n/a",B13-SUMIFS(Savings[Total Liquid Savings (RM)],Savings[Month],EDATE($B$2,-1)))</f>
        <v>n/a</v>
      </c>
      <c r="F13" s="46"/>
      <c r="G13" s="46"/>
      <c r="H13" s="39">
        <f>SUMIFS(Savings[Est. Monthly Interest (RM)],Savings[Month],$B$2)</f>
        <v>10.75</v>
      </c>
      <c r="I13" s="46"/>
      <c r="J13" s="46"/>
      <c r="K13" s="59">
        <v>0.11</v>
      </c>
      <c r="L13" s="54"/>
      <c r="M13" s="40"/>
      <c r="N13" t="s">
        <v>21</v>
      </c>
      <c r="O13" t="str">
        <f>IF(COUNTIFS(Transaction[Tags],N13,Transaction[Date],"&gt;="&amp;$B$2,Transaction[Date],"&lt;"&amp;EDATE($B$2,1))&gt;0,"Logged","MISSING")</f>
        <v>Logged</v>
      </c>
    </row>
    <row r="14" spans="1:15">
      <c r="A14" s="49"/>
      <c r="B14" s="43"/>
      <c r="C14" s="46"/>
      <c r="D14" s="46"/>
      <c r="E14" s="39"/>
      <c r="F14" s="46"/>
      <c r="G14" s="46"/>
      <c r="H14" s="39"/>
      <c r="I14" s="46"/>
      <c r="J14" s="46"/>
      <c r="K14" s="3"/>
      <c r="L14" s="54"/>
      <c r="M14" s="40"/>
      <c r="N14" t="s">
        <v>20</v>
      </c>
      <c r="O14" t="str">
        <f>IF(COUNTIFS(Transaction[Tags],N14,Transaction[Date],"&gt;="&amp;$B$2,Transaction[Date],"&lt;"&amp;EDATE($B$2,1))&gt;0,"Logged","MISSING")</f>
        <v>Logged</v>
      </c>
    </row>
    <row r="15" spans="1:15">
      <c r="A15" s="49"/>
      <c r="B15" s="60" t="s">
        <v>81</v>
      </c>
      <c r="C15" s="46"/>
      <c r="D15" s="46"/>
      <c r="E15" s="61" t="s">
        <v>82</v>
      </c>
      <c r="F15" s="46"/>
      <c r="G15" s="46"/>
      <c r="H15" s="58"/>
      <c r="I15" s="46"/>
      <c r="J15" s="46"/>
      <c r="K15" s="66" t="s">
        <v>84</v>
      </c>
      <c r="L15" s="54"/>
      <c r="M15" s="40"/>
      <c r="N15" t="s">
        <v>19</v>
      </c>
      <c r="O15" t="str">
        <f>IF(COUNTIFS(Transaction[Tags],N15,Transaction[Date],"&gt;="&amp;$B$2,Transaction[Date],"&lt;"&amp;EDATE($B$2,1))&gt;0,"Logged","MISSING")</f>
        <v>Logged</v>
      </c>
    </row>
    <row r="16" spans="1:15">
      <c r="A16" s="49"/>
      <c r="B16" s="39">
        <v>17.25</v>
      </c>
      <c r="C16" s="46"/>
      <c r="D16" s="46"/>
      <c r="E16" s="39">
        <v>6.9</v>
      </c>
      <c r="F16" s="46"/>
      <c r="G16" s="46"/>
      <c r="H16" s="39"/>
      <c r="I16" s="46"/>
      <c r="J16" s="46"/>
      <c r="K16" s="67" t="str">
        <f>IFERROR(E13-H10,"n/a")</f>
        <v>n/a</v>
      </c>
      <c r="L16" s="54"/>
      <c r="M16" s="40"/>
      <c r="N16" t="s">
        <v>79</v>
      </c>
      <c r="O16" t="str">
        <f>IF(COUNTIFS(Transaction[Tags],N16,Transaction[Date],"&gt;="&amp;$B$2,Transaction[Date],"&lt;"&amp;EDATE($B$2,1))&gt;0,"Logged","MISSING")</f>
        <v>Logged</v>
      </c>
    </row>
    <row r="17" spans="1:14">
      <c r="A17" s="49"/>
      <c r="C17" s="46"/>
      <c r="D17" s="46"/>
      <c r="F17" s="46"/>
      <c r="G17" s="46"/>
      <c r="I17" s="46"/>
      <c r="J17" s="46"/>
      <c r="L17" s="54"/>
      <c r="M17" s="40"/>
    </row>
    <row r="18" spans="1:14">
      <c r="A18" s="26"/>
      <c r="B18" s="27"/>
      <c r="C18" s="27"/>
      <c r="D18" s="27"/>
      <c r="E18" s="27"/>
      <c r="F18" s="27"/>
      <c r="G18" s="27"/>
      <c r="H18" s="27"/>
      <c r="I18" s="27"/>
      <c r="J18" s="27"/>
      <c r="K18" s="27"/>
      <c r="L18" s="28"/>
    </row>
    <row r="19" spans="1:14">
      <c r="A19" s="29"/>
      <c r="B19" s="30"/>
      <c r="C19" s="30"/>
      <c r="D19" s="30"/>
      <c r="E19" s="31"/>
      <c r="F19" s="30"/>
      <c r="G19" s="30"/>
      <c r="H19" s="30"/>
      <c r="I19" s="30"/>
      <c r="J19" s="30"/>
      <c r="K19" s="30"/>
      <c r="L19" s="32"/>
    </row>
    <row r="20" spans="1:14">
      <c r="A20" s="29"/>
      <c r="B20" s="30"/>
      <c r="C20" s="30"/>
      <c r="D20" s="30"/>
      <c r="E20" s="30"/>
      <c r="F20" s="30"/>
      <c r="G20" s="30"/>
      <c r="H20" s="30"/>
      <c r="I20" s="30"/>
      <c r="J20" s="30"/>
      <c r="K20" s="30"/>
      <c r="L20" s="32"/>
    </row>
    <row r="21" spans="1:14">
      <c r="A21" s="29"/>
      <c r="B21" s="30"/>
      <c r="C21" s="30"/>
      <c r="D21" s="30"/>
      <c r="E21" s="30"/>
      <c r="F21" s="30"/>
      <c r="G21" s="30"/>
      <c r="H21" s="30"/>
      <c r="I21" s="30"/>
      <c r="J21" s="30"/>
      <c r="K21" s="30"/>
      <c r="L21" s="32"/>
    </row>
    <row r="22" spans="1:14">
      <c r="A22" s="29"/>
      <c r="B22" s="30"/>
      <c r="C22" s="30"/>
      <c r="D22" s="30"/>
      <c r="E22" s="30"/>
      <c r="F22" s="30"/>
      <c r="G22" s="30"/>
      <c r="H22" s="30"/>
      <c r="I22" s="30"/>
      <c r="J22" s="30"/>
      <c r="K22" s="30"/>
      <c r="L22" s="32"/>
    </row>
    <row r="23" spans="1:14">
      <c r="A23" s="29"/>
      <c r="B23" s="30"/>
      <c r="C23" s="30"/>
      <c r="D23" s="30"/>
      <c r="E23" s="30"/>
      <c r="F23" s="30"/>
      <c r="G23" s="30"/>
      <c r="H23" s="30"/>
      <c r="I23" s="30"/>
      <c r="J23" s="30"/>
      <c r="K23" s="30"/>
      <c r="L23" s="32"/>
    </row>
    <row r="24" spans="1:14">
      <c r="A24" s="29"/>
      <c r="B24" s="30"/>
      <c r="C24" s="30"/>
      <c r="D24" s="30"/>
      <c r="E24" s="30"/>
      <c r="F24" s="30"/>
      <c r="G24" s="30"/>
      <c r="H24" s="30"/>
      <c r="I24" s="30"/>
      <c r="J24" s="30"/>
      <c r="K24" s="30"/>
      <c r="L24" s="32"/>
    </row>
    <row r="25" spans="1:14">
      <c r="A25" s="29"/>
      <c r="B25" s="30"/>
      <c r="C25" s="30"/>
      <c r="D25" s="30"/>
      <c r="E25" s="30"/>
      <c r="F25" s="30"/>
      <c r="G25" s="30"/>
      <c r="H25" s="30"/>
      <c r="I25" s="30"/>
      <c r="J25" s="30"/>
      <c r="K25" s="30"/>
      <c r="L25" s="32"/>
    </row>
    <row r="26" spans="1:14">
      <c r="A26" s="29"/>
      <c r="B26" s="30"/>
      <c r="C26" s="30"/>
      <c r="D26" s="30"/>
      <c r="E26" s="30"/>
      <c r="F26" s="30"/>
      <c r="G26" s="30"/>
      <c r="H26" s="30"/>
      <c r="I26" s="30"/>
      <c r="J26" s="30"/>
      <c r="K26" s="30"/>
      <c r="L26" s="32"/>
      <c r="N26" t="str">
        <f>"Spend by category - "&amp;TEXT($B$2,"mmm-yy")</f>
        <v>Spend by category - Aug-26</v>
      </c>
    </row>
    <row r="27" spans="1:14">
      <c r="A27" s="29"/>
      <c r="B27" s="30"/>
      <c r="C27" s="30"/>
      <c r="D27" s="30"/>
      <c r="E27" s="30"/>
      <c r="F27" s="30"/>
      <c r="G27" s="30"/>
      <c r="H27" s="30"/>
      <c r="I27" s="30"/>
      <c r="J27" s="30"/>
      <c r="K27" s="30"/>
      <c r="L27" s="32"/>
      <c r="N27" t="str">
        <f>"Spend by tags - "&amp;TEXT($B$2,"mmm-yy")</f>
        <v>Spend by tags - Aug-26</v>
      </c>
    </row>
    <row r="28" spans="1:14">
      <c r="A28" s="29"/>
      <c r="B28" s="30"/>
      <c r="C28" s="30"/>
      <c r="D28" s="30"/>
      <c r="E28" s="30"/>
      <c r="F28" s="30"/>
      <c r="G28" s="30"/>
      <c r="H28" s="30"/>
      <c r="I28" s="30"/>
      <c r="J28" s="30"/>
      <c r="K28" s="30"/>
      <c r="L28" s="32"/>
    </row>
    <row r="29" spans="1:14">
      <c r="A29" s="29"/>
      <c r="B29" s="30"/>
      <c r="C29" s="30"/>
      <c r="D29" s="30"/>
      <c r="E29" s="30"/>
      <c r="F29" s="30"/>
      <c r="G29" s="30"/>
      <c r="H29" s="30"/>
      <c r="I29" s="30"/>
      <c r="J29" s="30"/>
      <c r="K29" s="30"/>
      <c r="L29" s="32"/>
    </row>
    <row r="30" spans="1:14">
      <c r="A30" s="8"/>
      <c r="C30" s="9"/>
      <c r="D30" s="9"/>
      <c r="E30" s="9"/>
      <c r="F30" s="9"/>
      <c r="G30" s="9"/>
      <c r="H30" s="9"/>
      <c r="I30" s="9"/>
      <c r="J30" s="9"/>
      <c r="K30" s="9"/>
      <c r="L30" s="10"/>
    </row>
    <row r="31" spans="1:14">
      <c r="A31" s="11"/>
      <c r="L31" s="12"/>
    </row>
    <row r="32" spans="1:14">
      <c r="B32" s="20" t="s">
        <v>23</v>
      </c>
      <c r="C32" s="20" t="s">
        <v>1</v>
      </c>
      <c r="D32" s="7" t="s">
        <v>29</v>
      </c>
      <c r="L32" s="12"/>
    </row>
    <row r="33" spans="1:12">
      <c r="B33" s="21" t="s">
        <v>22</v>
      </c>
      <c r="C33" s="68"/>
      <c r="D33" s="18">
        <v>1037.3100000000002</v>
      </c>
      <c r="L33" s="12"/>
    </row>
    <row r="34" spans="1:12">
      <c r="B34" s="17" t="s">
        <v>25</v>
      </c>
      <c r="C34" s="68"/>
      <c r="D34" s="19">
        <v>291.05</v>
      </c>
      <c r="L34" s="12"/>
    </row>
    <row r="35" spans="1:12">
      <c r="B35" s="17" t="s">
        <v>8</v>
      </c>
      <c r="C35" s="68"/>
      <c r="D35" s="19">
        <v>253</v>
      </c>
      <c r="L35" s="12"/>
    </row>
    <row r="36" spans="1:12">
      <c r="B36" s="17" t="s">
        <v>9</v>
      </c>
      <c r="C36" s="68"/>
      <c r="D36" s="19">
        <v>52</v>
      </c>
      <c r="L36" s="12"/>
    </row>
    <row r="37" spans="1:12">
      <c r="B37" s="17" t="s">
        <v>14</v>
      </c>
      <c r="C37" s="68"/>
      <c r="D37" s="19">
        <v>29</v>
      </c>
      <c r="L37" s="12"/>
    </row>
    <row r="38" spans="1:12">
      <c r="B38" s="17" t="s">
        <v>11</v>
      </c>
      <c r="C38" s="68"/>
      <c r="D38" s="19">
        <v>220</v>
      </c>
      <c r="L38" s="12"/>
    </row>
    <row r="39" spans="1:12">
      <c r="B39" s="17" t="s">
        <v>13</v>
      </c>
      <c r="C39" s="68"/>
      <c r="D39" s="19">
        <v>61.5</v>
      </c>
      <c r="L39" s="12"/>
    </row>
    <row r="40" spans="1:12">
      <c r="B40" s="17" t="s">
        <v>12</v>
      </c>
      <c r="C40" s="68"/>
      <c r="D40" s="19">
        <v>50</v>
      </c>
      <c r="L40" s="12"/>
    </row>
    <row r="41" spans="1:12">
      <c r="B41" s="17" t="s">
        <v>10</v>
      </c>
      <c r="C41" s="68"/>
      <c r="D41" s="19">
        <v>329.5</v>
      </c>
      <c r="L41" s="12"/>
    </row>
    <row r="42" spans="1:12">
      <c r="B42" s="16" t="s">
        <v>83</v>
      </c>
      <c r="C42" s="68"/>
      <c r="D42" s="19">
        <v>61.699999999999996</v>
      </c>
      <c r="L42" s="12"/>
    </row>
    <row r="43" spans="1:12">
      <c r="B43" s="22" t="s">
        <v>28</v>
      </c>
      <c r="C43" s="23"/>
      <c r="D43" s="69">
        <v>2385.06</v>
      </c>
      <c r="L43" s="12"/>
    </row>
    <row r="44" spans="1:12">
      <c r="L44" s="12"/>
    </row>
    <row r="45" spans="1:12">
      <c r="A45" s="11"/>
      <c r="L45" s="12"/>
    </row>
    <row r="46" spans="1:12">
      <c r="A46" s="11"/>
      <c r="L46" s="12"/>
    </row>
    <row r="47" spans="1:12">
      <c r="A47" s="11"/>
      <c r="L47" s="12"/>
    </row>
    <row r="48" spans="1:12">
      <c r="A48" s="11"/>
      <c r="L48" s="12"/>
    </row>
    <row r="49" spans="1:12">
      <c r="A49" s="11"/>
      <c r="L49" s="12"/>
    </row>
    <row r="50" spans="1:12">
      <c r="A50" s="11"/>
      <c r="L50" s="12"/>
    </row>
    <row r="51" spans="1:12">
      <c r="A51" s="11"/>
      <c r="L51" s="12"/>
    </row>
    <row r="52" spans="1:12">
      <c r="A52" s="11"/>
      <c r="L52" s="12"/>
    </row>
    <row r="53" spans="1:12">
      <c r="A53" s="11"/>
      <c r="L53" s="12"/>
    </row>
    <row r="54" spans="1:12">
      <c r="A54" s="11"/>
      <c r="L54" s="12"/>
    </row>
    <row r="55" spans="1:12">
      <c r="A55" s="11"/>
      <c r="L55" s="12"/>
    </row>
    <row r="56" spans="1:12">
      <c r="A56" s="11"/>
      <c r="L56" s="12"/>
    </row>
    <row r="57" spans="1:12">
      <c r="A57" s="11"/>
      <c r="L57" s="12"/>
    </row>
    <row r="58" spans="1:12">
      <c r="A58" s="13"/>
      <c r="E58" s="14"/>
      <c r="F58" s="14"/>
      <c r="G58" s="14"/>
      <c r="H58" s="14"/>
      <c r="I58" s="14"/>
      <c r="J58" s="14"/>
      <c r="K58" s="14"/>
      <c r="L58" s="15"/>
    </row>
    <row r="59" spans="1:12">
      <c r="A59" s="8"/>
      <c r="E59" s="9"/>
      <c r="F59" s="9"/>
      <c r="G59" s="9"/>
      <c r="H59" s="9"/>
      <c r="I59" s="9"/>
      <c r="J59" s="9"/>
      <c r="K59" s="9"/>
      <c r="L59" s="10"/>
    </row>
    <row r="60" spans="1:12">
      <c r="A60" s="11"/>
      <c r="L60" s="12"/>
    </row>
    <row r="61" spans="1:12">
      <c r="A61" s="11"/>
      <c r="L61" s="12"/>
    </row>
    <row r="62" spans="1:12">
      <c r="A62" s="11"/>
      <c r="L62" s="12"/>
    </row>
    <row r="63" spans="1:12">
      <c r="A63" s="11"/>
      <c r="L63" s="12"/>
    </row>
    <row r="64" spans="1:12" ht="45">
      <c r="A64" s="11"/>
      <c r="B64" s="20" t="s">
        <v>1</v>
      </c>
      <c r="C64" s="33" t="s">
        <v>29</v>
      </c>
      <c r="L64" s="12"/>
    </row>
    <row r="65" spans="1:12">
      <c r="A65" s="11"/>
      <c r="B65" s="17" t="s">
        <v>35</v>
      </c>
      <c r="C65" s="70">
        <v>3.9</v>
      </c>
      <c r="L65" s="12"/>
    </row>
    <row r="66" spans="1:12">
      <c r="A66" s="11"/>
      <c r="B66" s="17" t="s">
        <v>16</v>
      </c>
      <c r="C66" s="70">
        <v>4.2</v>
      </c>
      <c r="L66" s="12"/>
    </row>
    <row r="67" spans="1:12">
      <c r="A67" s="11"/>
      <c r="B67" s="17" t="s">
        <v>48</v>
      </c>
      <c r="C67" s="70">
        <v>10</v>
      </c>
      <c r="L67" s="12"/>
    </row>
    <row r="68" spans="1:12">
      <c r="A68" s="11"/>
      <c r="B68" s="17" t="s">
        <v>45</v>
      </c>
      <c r="C68" s="70">
        <v>10.5</v>
      </c>
      <c r="L68" s="12"/>
    </row>
    <row r="69" spans="1:12">
      <c r="A69" s="11"/>
      <c r="B69" s="17" t="s">
        <v>19</v>
      </c>
      <c r="C69" s="70">
        <v>11.05</v>
      </c>
      <c r="L69" s="12"/>
    </row>
    <row r="70" spans="1:12">
      <c r="A70" s="11"/>
      <c r="B70" s="17" t="s">
        <v>42</v>
      </c>
      <c r="C70" s="70">
        <v>12.3</v>
      </c>
      <c r="L70" s="12"/>
    </row>
    <row r="71" spans="1:12">
      <c r="A71" s="11"/>
      <c r="B71" s="17" t="s">
        <v>46</v>
      </c>
      <c r="C71" s="70">
        <v>15.6</v>
      </c>
      <c r="L71" s="12"/>
    </row>
    <row r="72" spans="1:12">
      <c r="A72" s="11"/>
      <c r="B72" s="17" t="s">
        <v>37</v>
      </c>
      <c r="C72" s="70">
        <v>17.899999999999999</v>
      </c>
      <c r="L72" s="12"/>
    </row>
    <row r="73" spans="1:12">
      <c r="A73" s="11"/>
      <c r="B73" s="17" t="s">
        <v>17</v>
      </c>
      <c r="C73" s="70">
        <v>22.5</v>
      </c>
      <c r="L73" s="12"/>
    </row>
    <row r="74" spans="1:12">
      <c r="A74" s="11"/>
      <c r="B74" s="17" t="s">
        <v>32</v>
      </c>
      <c r="C74" s="70">
        <v>29</v>
      </c>
      <c r="L74" s="12"/>
    </row>
    <row r="75" spans="1:12">
      <c r="A75" s="11"/>
      <c r="B75" s="17" t="s">
        <v>47</v>
      </c>
      <c r="C75" s="70">
        <v>29</v>
      </c>
      <c r="L75" s="12"/>
    </row>
    <row r="76" spans="1:12">
      <c r="A76" s="11"/>
      <c r="B76" s="17" t="s">
        <v>36</v>
      </c>
      <c r="C76" s="70">
        <v>29.9</v>
      </c>
      <c r="L76" s="12"/>
    </row>
    <row r="77" spans="1:12">
      <c r="A77" s="11"/>
      <c r="B77" s="17" t="s">
        <v>40</v>
      </c>
      <c r="C77" s="70">
        <v>32.5</v>
      </c>
      <c r="L77" s="12"/>
    </row>
    <row r="78" spans="1:12">
      <c r="A78" s="11"/>
      <c r="B78" s="17" t="s">
        <v>30</v>
      </c>
      <c r="C78" s="70">
        <v>45</v>
      </c>
      <c r="L78" s="12"/>
    </row>
    <row r="79" spans="1:12">
      <c r="A79" s="11"/>
      <c r="B79" s="17" t="s">
        <v>34</v>
      </c>
      <c r="C79" s="70">
        <v>50</v>
      </c>
      <c r="L79" s="12"/>
    </row>
    <row r="80" spans="1:12">
      <c r="A80" s="11"/>
      <c r="B80" s="17" t="s">
        <v>31</v>
      </c>
      <c r="C80" s="70">
        <v>52</v>
      </c>
      <c r="L80" s="12"/>
    </row>
    <row r="81" spans="1:12">
      <c r="A81" s="11"/>
      <c r="B81" s="17" t="s">
        <v>26</v>
      </c>
      <c r="C81" s="70">
        <v>61.099999999999994</v>
      </c>
      <c r="L81" s="12"/>
    </row>
    <row r="82" spans="1:12">
      <c r="A82" s="11"/>
      <c r="B82" s="17" t="s">
        <v>21</v>
      </c>
      <c r="C82" s="70">
        <v>80</v>
      </c>
      <c r="L82" s="12"/>
    </row>
    <row r="83" spans="1:12">
      <c r="A83" s="11"/>
      <c r="B83" s="17" t="s">
        <v>44</v>
      </c>
      <c r="C83" s="70">
        <v>90</v>
      </c>
      <c r="L83" s="12"/>
    </row>
    <row r="84" spans="1:12">
      <c r="A84" s="11"/>
      <c r="B84" s="17" t="s">
        <v>3</v>
      </c>
      <c r="C84" s="70">
        <v>95.6</v>
      </c>
      <c r="L84" s="12"/>
    </row>
    <row r="85" spans="1:12">
      <c r="A85" s="11"/>
      <c r="B85" s="17" t="s">
        <v>24</v>
      </c>
      <c r="C85" s="70">
        <v>98.46</v>
      </c>
      <c r="L85" s="12"/>
    </row>
    <row r="86" spans="1:12">
      <c r="A86" s="11"/>
      <c r="B86" s="17" t="s">
        <v>15</v>
      </c>
      <c r="C86" s="70">
        <v>106.3</v>
      </c>
      <c r="L86" s="12"/>
    </row>
    <row r="87" spans="1:12">
      <c r="A87" s="11"/>
      <c r="B87" s="17" t="s">
        <v>20</v>
      </c>
      <c r="C87" s="70">
        <v>110</v>
      </c>
      <c r="L87" s="12"/>
    </row>
    <row r="88" spans="1:12">
      <c r="A88" s="11"/>
      <c r="B88" s="17" t="s">
        <v>79</v>
      </c>
      <c r="C88" s="70">
        <v>120</v>
      </c>
      <c r="L88" s="12"/>
    </row>
    <row r="89" spans="1:12">
      <c r="A89" s="11"/>
      <c r="B89" s="17" t="s">
        <v>33</v>
      </c>
      <c r="C89" s="70">
        <v>220</v>
      </c>
      <c r="L89" s="12"/>
    </row>
    <row r="90" spans="1:12">
      <c r="A90" s="11"/>
      <c r="B90" s="17" t="s">
        <v>4</v>
      </c>
      <c r="C90" s="70">
        <v>222.60000000000002</v>
      </c>
      <c r="L90" s="12"/>
    </row>
    <row r="91" spans="1:12">
      <c r="A91" s="11"/>
      <c r="B91" s="17" t="s">
        <v>38</v>
      </c>
      <c r="C91" s="70">
        <v>319</v>
      </c>
      <c r="L91" s="12"/>
    </row>
    <row r="92" spans="1:12">
      <c r="A92" s="11"/>
      <c r="B92" s="16" t="s">
        <v>2</v>
      </c>
      <c r="C92" s="70">
        <v>486.65000000000003</v>
      </c>
      <c r="L92" s="12"/>
    </row>
    <row r="93" spans="1:12">
      <c r="A93" s="11"/>
      <c r="B93" s="16" t="s">
        <v>28</v>
      </c>
      <c r="C93" s="69">
        <v>2385.0600000000004</v>
      </c>
      <c r="L93" s="12"/>
    </row>
    <row r="94" spans="1:12">
      <c r="A94" s="11"/>
      <c r="L94" s="12"/>
    </row>
    <row r="95" spans="1:12">
      <c r="A95" s="11"/>
      <c r="L95" s="12"/>
    </row>
    <row r="96" spans="1:12">
      <c r="A96" s="13"/>
      <c r="B96" s="14"/>
      <c r="C96" s="14"/>
      <c r="D96" s="14"/>
      <c r="E96" s="14"/>
      <c r="F96" s="14"/>
      <c r="G96" s="14"/>
      <c r="H96" s="14"/>
      <c r="I96" s="14"/>
      <c r="J96" s="14"/>
      <c r="K96" s="14"/>
      <c r="L96" s="15"/>
    </row>
  </sheetData>
  <conditionalFormatting sqref="O9:O16">
    <cfRule type="cellIs" dxfId="35" priority="2" operator="equal">
      <formula>"Missing"</formula>
    </cfRule>
    <cfRule type="cellIs" priority="1" operator="equal">
      <formula>"Logged"</formula>
    </cfRule>
    <cfRule type="cellIs" dxfId="34" priority="3" operator="equal">
      <formula>"Logged"</formula>
    </cfRule>
  </conditionalFormatting>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81F7C-5B9F-416E-932B-48D4D54371E0}">
  <sheetPr codeName="Sheet2"/>
  <dimension ref="A1:J8"/>
  <sheetViews>
    <sheetView workbookViewId="0">
      <selection activeCell="D2" sqref="D2:D6"/>
    </sheetView>
  </sheetViews>
  <sheetFormatPr defaultRowHeight="15"/>
  <cols>
    <col min="1" max="1" width="12.42578125" customWidth="1"/>
    <col min="2" max="2" width="32" customWidth="1"/>
    <col min="3" max="6" width="33" customWidth="1"/>
    <col min="7" max="7" width="38.85546875" customWidth="1"/>
    <col min="8" max="8" width="32.85546875" customWidth="1"/>
    <col min="9" max="9" width="23.42578125" customWidth="1"/>
    <col min="10" max="10" width="19.140625" customWidth="1"/>
    <col min="11" max="11" width="13.42578125" customWidth="1"/>
  </cols>
  <sheetData>
    <row r="1" spans="1:10" ht="30.75" thickBot="1">
      <c r="A1" s="25" t="s">
        <v>53</v>
      </c>
      <c r="B1" s="25" t="s">
        <v>60</v>
      </c>
      <c r="C1" s="25" t="s">
        <v>55</v>
      </c>
      <c r="D1" s="25" t="s">
        <v>56</v>
      </c>
      <c r="E1" s="25" t="s">
        <v>57</v>
      </c>
      <c r="F1" s="25" t="s">
        <v>58</v>
      </c>
      <c r="G1" s="25" t="s">
        <v>78</v>
      </c>
      <c r="H1" s="25" t="s">
        <v>54</v>
      </c>
      <c r="I1" s="25" t="s">
        <v>59</v>
      </c>
      <c r="J1" s="25" t="s">
        <v>61</v>
      </c>
    </row>
    <row r="2" spans="1:10">
      <c r="A2" s="24">
        <v>46235</v>
      </c>
      <c r="B2" s="3">
        <v>0</v>
      </c>
      <c r="C2" s="3">
        <v>3558.62</v>
      </c>
      <c r="D2" s="44">
        <v>3.5499999999999997E-2</v>
      </c>
      <c r="E2" s="3">
        <v>0</v>
      </c>
      <c r="F2" s="3">
        <v>0</v>
      </c>
      <c r="G2" s="3">
        <v>10</v>
      </c>
      <c r="H2" s="3">
        <f>Savings[[#This Row],[Main Checking (RM)]]+Savings[[#This Row],[GXBank (RM)]]+Savings[[#This Row],[RYT Bank (RM)]]</f>
        <v>3558.62</v>
      </c>
      <c r="I2" s="3">
        <f>ROUND(
  (Savings[[#This Row],[GXBank (RM)]] * ((1 + Savings[[#This Row],[GX Rate (%)]]/365)^DAY(EOMONTH(Savings[[#This Row],[Month]], 0)) - 1)) +
  (Savings[[#This Row],[RYT Bank (RM)]] * ((1 + Savings[[#This Row],[Ryt Rate (%)]]/365)^DAY(EOMONTH(Savings[[#This Row],[Month]], 0)) - 1)),
2)</f>
        <v>10.75</v>
      </c>
      <c r="J2" s="3">
        <f>ROUND(Savings[[#This Row],[GXBank (RM)]] * ((1 + Savings[[#This Row],[GX Rate (%)]]/365)^DAY(EOMONTH(Savings[[#This Row],[Month]], 0)) - 1), 2)</f>
        <v>10.75</v>
      </c>
    </row>
    <row r="3" spans="1:10">
      <c r="A3" s="24">
        <v>46266</v>
      </c>
      <c r="B3" s="3"/>
      <c r="C3" s="3"/>
      <c r="D3" s="44"/>
      <c r="E3" s="3"/>
      <c r="F3" s="3"/>
      <c r="G3" s="3"/>
      <c r="H3" s="3">
        <f>Savings[[#This Row],[Main Checking (RM)]]+Savings[[#This Row],[GXBank (RM)]]+Savings[[#This Row],[RYT Bank (RM)]]</f>
        <v>0</v>
      </c>
      <c r="I3" s="3">
        <f>ROUND(
  (Savings[[#This Row],[GXBank (RM)]] * ((1 + Savings[[#This Row],[GX Rate (%)]]/365)^DAY(EOMONTH(Savings[[#This Row],[Month]], 0)) - 1)) +
  (Savings[[#This Row],[RYT Bank (RM)]] * ((1 + Savings[[#This Row],[Ryt Rate (%)]]/365)^DAY(EOMONTH(Savings[[#This Row],[Month]], 0)) - 1)),
2)</f>
        <v>0</v>
      </c>
      <c r="J3" s="3">
        <f>ROUND(Savings[[#This Row],[GXBank (RM)]] * ((1 + Savings[[#This Row],[GX Rate (%)]]/365)^DAY(EOMONTH(Savings[[#This Row],[Month]], 0)) - 1), 2)</f>
        <v>0</v>
      </c>
    </row>
    <row r="4" spans="1:10">
      <c r="A4" s="24">
        <v>46296</v>
      </c>
      <c r="B4" s="3"/>
      <c r="C4" s="3"/>
      <c r="D4" s="44"/>
      <c r="E4" s="3"/>
      <c r="F4" s="3"/>
      <c r="G4" s="3"/>
      <c r="H4" s="3">
        <f>Savings[[#This Row],[Main Checking (RM)]]+Savings[[#This Row],[GXBank (RM)]]+Savings[[#This Row],[RYT Bank (RM)]]</f>
        <v>0</v>
      </c>
      <c r="I4" s="3">
        <f>ROUND(
  (Savings[[#This Row],[GXBank (RM)]] * ((1 + Savings[[#This Row],[GX Rate (%)]]/365)^DAY(EOMONTH(Savings[[#This Row],[Month]], 0)) - 1)) +
  (Savings[[#This Row],[RYT Bank (RM)]] * ((1 + Savings[[#This Row],[Ryt Rate (%)]]/365)^DAY(EOMONTH(Savings[[#This Row],[Month]], 0)) - 1)),
2)</f>
        <v>0</v>
      </c>
      <c r="J4" s="3">
        <f>ROUND(Savings[[#This Row],[GXBank (RM)]] * ((1 + Savings[[#This Row],[GX Rate (%)]]/365)^DAY(EOMONTH(Savings[[#This Row],[Month]], 0)) - 1), 2)</f>
        <v>0</v>
      </c>
    </row>
    <row r="5" spans="1:10">
      <c r="A5" s="24">
        <v>46327</v>
      </c>
      <c r="B5" s="3"/>
      <c r="C5" s="3"/>
      <c r="D5" s="44"/>
      <c r="E5" s="3"/>
      <c r="F5" s="3"/>
      <c r="G5" s="3"/>
      <c r="H5" s="3">
        <f>Savings[[#This Row],[Main Checking (RM)]]+Savings[[#This Row],[GXBank (RM)]]+Savings[[#This Row],[RYT Bank (RM)]]</f>
        <v>0</v>
      </c>
      <c r="I5" s="3">
        <f>ROUND(
  (Savings[[#This Row],[GXBank (RM)]] * ((1 + Savings[[#This Row],[GX Rate (%)]]/365)^DAY(EOMONTH(Savings[[#This Row],[Month]], 0)) - 1)) +
  (Savings[[#This Row],[RYT Bank (RM)]] * ((1 + Savings[[#This Row],[Ryt Rate (%)]]/365)^DAY(EOMONTH(Savings[[#This Row],[Month]], 0)) - 1)),
2)</f>
        <v>0</v>
      </c>
      <c r="J5" s="3">
        <f>ROUND(Savings[[#This Row],[GXBank (RM)]] * ((1 + Savings[[#This Row],[GX Rate (%)]]/365)^DAY(EOMONTH(Savings[[#This Row],[Month]], 0)) - 1), 2)</f>
        <v>0</v>
      </c>
    </row>
    <row r="6" spans="1:10">
      <c r="A6" s="24">
        <v>46357</v>
      </c>
      <c r="B6" s="3"/>
      <c r="C6" s="3"/>
      <c r="D6" s="44"/>
      <c r="E6" s="3"/>
      <c r="F6" s="3"/>
      <c r="G6" s="3"/>
      <c r="H6" s="3">
        <f>Savings[[#This Row],[Main Checking (RM)]]+Savings[[#This Row],[GXBank (RM)]]+Savings[[#This Row],[RYT Bank (RM)]]</f>
        <v>0</v>
      </c>
      <c r="I6" s="3">
        <f>ROUND(
  (Savings[[#This Row],[GXBank (RM)]] * ((1 + Savings[[#This Row],[GX Rate (%)]]/365)^DAY(EOMONTH(Savings[[#This Row],[Month]], 0)) - 1)) +
  (Savings[[#This Row],[RYT Bank (RM)]] * ((1 + Savings[[#This Row],[Ryt Rate (%)]]/365)^DAY(EOMONTH(Savings[[#This Row],[Month]], 0)) - 1)),
2)</f>
        <v>0</v>
      </c>
      <c r="J6" s="3">
        <f>ROUND(Savings[[#This Row],[GXBank (RM)]] * ((1 + Savings[[#This Row],[GX Rate (%)]]/365)^DAY(EOMONTH(Savings[[#This Row],[Month]], 0)) - 1), 2)</f>
        <v>0</v>
      </c>
    </row>
    <row r="8" spans="1:10">
      <c r="H8" s="6"/>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31224-CE48-4EFA-A044-7ACC22960C9E}">
  <sheetPr codeName="Sheet3"/>
  <dimension ref="A1:G173"/>
  <sheetViews>
    <sheetView topLeftCell="A48" workbookViewId="0">
      <selection activeCell="M57" sqref="M57"/>
    </sheetView>
  </sheetViews>
  <sheetFormatPr defaultRowHeight="15"/>
  <cols>
    <col min="1" max="1" width="13.42578125" style="64" customWidth="1"/>
    <col min="2" max="2" width="21.5703125" customWidth="1"/>
    <col min="3" max="3" width="23.42578125" customWidth="1"/>
    <col min="4" max="5" width="23" customWidth="1"/>
    <col min="6" max="6" width="25.140625" customWidth="1"/>
    <col min="7" max="7" width="16.28515625" customWidth="1"/>
    <col min="22" max="22" width="11.42578125" customWidth="1"/>
  </cols>
  <sheetData>
    <row r="1" spans="1:7" ht="18">
      <c r="A1" s="62" t="s">
        <v>0</v>
      </c>
      <c r="B1" s="1" t="s">
        <v>27</v>
      </c>
      <c r="C1" s="1" t="s">
        <v>23</v>
      </c>
      <c r="D1" s="1" t="s">
        <v>1</v>
      </c>
      <c r="E1" s="1" t="s">
        <v>5</v>
      </c>
      <c r="F1" s="1" t="s">
        <v>6</v>
      </c>
      <c r="G1" s="1" t="s">
        <v>85</v>
      </c>
    </row>
    <row r="2" spans="1:7" ht="18">
      <c r="A2" s="63">
        <v>46235</v>
      </c>
      <c r="B2" s="2" t="str">
        <f>TEXT(Transaction[[#This Row],[Date]], "dddd")</f>
        <v>Saturday</v>
      </c>
      <c r="C2" s="4" t="s">
        <v>22</v>
      </c>
      <c r="D2" s="4" t="s">
        <v>24</v>
      </c>
      <c r="E2" s="1"/>
      <c r="F2" s="5">
        <v>15.9</v>
      </c>
      <c r="G2" s="1"/>
    </row>
    <row r="3" spans="1:7">
      <c r="A3" s="63">
        <v>46235</v>
      </c>
      <c r="B3" s="2" t="str">
        <f>TEXT(Transaction[[#This Row],[Date]], "dddd")</f>
        <v>Saturday</v>
      </c>
      <c r="C3" s="4" t="s">
        <v>83</v>
      </c>
      <c r="D3" t="s">
        <v>37</v>
      </c>
      <c r="F3" s="3">
        <v>17.899999999999999</v>
      </c>
    </row>
    <row r="4" spans="1:7">
      <c r="A4" s="63">
        <v>46236</v>
      </c>
      <c r="B4" s="2" t="str">
        <f>TEXT(Transaction[[#This Row],[Date]], "dddd")</f>
        <v>Sunday</v>
      </c>
      <c r="C4" s="4" t="s">
        <v>25</v>
      </c>
      <c r="D4" t="s">
        <v>21</v>
      </c>
      <c r="F4" s="3">
        <v>80</v>
      </c>
    </row>
    <row r="5" spans="1:7">
      <c r="A5" s="63">
        <v>46237</v>
      </c>
      <c r="B5" s="2" t="str">
        <f>TEXT(Transaction[[#This Row],[Date]], "dddd")</f>
        <v>Monday</v>
      </c>
      <c r="C5" s="4" t="s">
        <v>22</v>
      </c>
      <c r="D5" t="s">
        <v>2</v>
      </c>
      <c r="F5" s="3">
        <v>17.600000000000001</v>
      </c>
    </row>
    <row r="6" spans="1:7">
      <c r="A6" s="63">
        <v>46238</v>
      </c>
      <c r="B6" s="2" t="str">
        <f>TEXT(Transaction[[#This Row],[Date]], "dddd")</f>
        <v>Tuesday</v>
      </c>
      <c r="C6" s="4" t="s">
        <v>22</v>
      </c>
      <c r="D6" t="s">
        <v>26</v>
      </c>
      <c r="F6" s="3">
        <v>10.9</v>
      </c>
    </row>
    <row r="7" spans="1:7">
      <c r="A7" s="63">
        <v>46238</v>
      </c>
      <c r="B7" s="2" t="str">
        <f>TEXT(Transaction[[#This Row],[Date]], "dddd")</f>
        <v>Tuesday</v>
      </c>
      <c r="C7" s="4" t="s">
        <v>22</v>
      </c>
      <c r="D7" t="s">
        <v>4</v>
      </c>
      <c r="F7" s="3">
        <v>10</v>
      </c>
    </row>
    <row r="8" spans="1:7">
      <c r="A8" s="63">
        <v>46238</v>
      </c>
      <c r="B8" s="2" t="str">
        <f>TEXT(Transaction[[#This Row],[Date]], "dddd")</f>
        <v>Tuesday</v>
      </c>
      <c r="C8" s="4" t="s">
        <v>22</v>
      </c>
      <c r="D8" t="s">
        <v>2</v>
      </c>
      <c r="F8" s="3">
        <v>21</v>
      </c>
    </row>
    <row r="9" spans="1:7">
      <c r="A9" s="63">
        <v>46238</v>
      </c>
      <c r="B9" s="2" t="str">
        <f>TEXT(Transaction[[#This Row],[Date]], "dddd")</f>
        <v>Tuesday</v>
      </c>
      <c r="C9" s="4" t="s">
        <v>8</v>
      </c>
      <c r="D9" t="s">
        <v>17</v>
      </c>
      <c r="F9" s="3">
        <v>10</v>
      </c>
    </row>
    <row r="10" spans="1:7">
      <c r="A10" s="63">
        <v>46239</v>
      </c>
      <c r="B10" s="2" t="str">
        <f>TEXT(Transaction[[#This Row],[Date]], "dddd")</f>
        <v>Wednesday</v>
      </c>
      <c r="C10" s="4" t="s">
        <v>22</v>
      </c>
      <c r="D10" t="s">
        <v>26</v>
      </c>
      <c r="F10" s="3">
        <v>10.9</v>
      </c>
    </row>
    <row r="11" spans="1:7">
      <c r="A11" s="63">
        <v>46239</v>
      </c>
      <c r="B11" s="2" t="str">
        <f>TEXT(Transaction[[#This Row],[Date]], "dddd")</f>
        <v>Wednesday</v>
      </c>
      <c r="C11" s="4" t="s">
        <v>22</v>
      </c>
      <c r="D11" t="s">
        <v>4</v>
      </c>
      <c r="F11" s="3">
        <v>7.5</v>
      </c>
    </row>
    <row r="12" spans="1:7">
      <c r="A12" s="63">
        <v>46239</v>
      </c>
      <c r="B12" s="2" t="str">
        <f>TEXT(Transaction[[#This Row],[Date]], "dddd")</f>
        <v>Wednesday</v>
      </c>
      <c r="C12" s="4" t="s">
        <v>22</v>
      </c>
      <c r="D12" t="s">
        <v>2</v>
      </c>
      <c r="F12" s="3">
        <v>10.199999999999999</v>
      </c>
    </row>
    <row r="13" spans="1:7">
      <c r="A13" s="63">
        <v>46240</v>
      </c>
      <c r="B13" s="2" t="str">
        <f>TEXT(Transaction[[#This Row],[Date]], "dddd")</f>
        <v>Thursday</v>
      </c>
      <c r="C13" s="4" t="s">
        <v>22</v>
      </c>
      <c r="D13" t="s">
        <v>26</v>
      </c>
      <c r="F13" s="3">
        <v>12.2</v>
      </c>
    </row>
    <row r="14" spans="1:7">
      <c r="A14" s="63">
        <v>46240</v>
      </c>
      <c r="B14" s="2" t="str">
        <f>TEXT(Transaction[[#This Row],[Date]], "dddd")</f>
        <v>Thursday</v>
      </c>
      <c r="C14" s="4" t="s">
        <v>22</v>
      </c>
      <c r="D14" t="s">
        <v>4</v>
      </c>
      <c r="F14" s="3">
        <v>10.5</v>
      </c>
    </row>
    <row r="15" spans="1:7">
      <c r="A15" s="63">
        <v>46240</v>
      </c>
      <c r="B15" s="2" t="str">
        <f>TEXT(Transaction[[#This Row],[Date]], "dddd")</f>
        <v>Thursday</v>
      </c>
      <c r="C15" s="4" t="s">
        <v>22</v>
      </c>
      <c r="D15" t="s">
        <v>2</v>
      </c>
      <c r="F15" s="3">
        <v>12.2</v>
      </c>
    </row>
    <row r="16" spans="1:7">
      <c r="A16" s="63">
        <v>46240</v>
      </c>
      <c r="B16" s="2" t="str">
        <f>TEXT(Transaction[[#This Row],[Date]], "dddd")</f>
        <v>Thursday</v>
      </c>
      <c r="C16" s="4" t="s">
        <v>8</v>
      </c>
      <c r="D16" t="s">
        <v>15</v>
      </c>
      <c r="F16" s="3">
        <v>55</v>
      </c>
    </row>
    <row r="17" spans="1:6">
      <c r="A17" s="63">
        <v>46241</v>
      </c>
      <c r="B17" s="2" t="str">
        <f>TEXT(Transaction[[#This Row],[Date]], "dddd")</f>
        <v>Friday</v>
      </c>
      <c r="C17" s="4" t="s">
        <v>22</v>
      </c>
      <c r="D17" t="s">
        <v>3</v>
      </c>
      <c r="F17" s="3">
        <v>10.199999999999999</v>
      </c>
    </row>
    <row r="18" spans="1:6">
      <c r="A18" s="63">
        <v>46241</v>
      </c>
      <c r="B18" s="2" t="str">
        <f>TEXT(Transaction[[#This Row],[Date]], "dddd")</f>
        <v>Friday</v>
      </c>
      <c r="C18" s="4" t="s">
        <v>22</v>
      </c>
      <c r="D18" t="s">
        <v>26</v>
      </c>
      <c r="F18" s="3">
        <v>7.4</v>
      </c>
    </row>
    <row r="19" spans="1:6">
      <c r="A19" s="63">
        <v>46241</v>
      </c>
      <c r="B19" s="2" t="str">
        <f>TEXT(Transaction[[#This Row],[Date]], "dddd")</f>
        <v>Friday</v>
      </c>
      <c r="C19" s="4" t="s">
        <v>22</v>
      </c>
      <c r="D19" t="s">
        <v>4</v>
      </c>
      <c r="F19" s="3">
        <v>7</v>
      </c>
    </row>
    <row r="20" spans="1:6">
      <c r="A20" s="63">
        <v>46241</v>
      </c>
      <c r="B20" s="2" t="str">
        <f>TEXT(Transaction[[#This Row],[Date]], "dddd")</f>
        <v>Friday</v>
      </c>
      <c r="C20" s="4" t="s">
        <v>22</v>
      </c>
      <c r="D20" t="s">
        <v>30</v>
      </c>
      <c r="F20" s="3">
        <v>11</v>
      </c>
    </row>
    <row r="21" spans="1:6">
      <c r="A21" s="63">
        <v>46241</v>
      </c>
      <c r="B21" s="2" t="str">
        <f>TEXT(Transaction[[#This Row],[Date]], "dddd")</f>
        <v>Friday</v>
      </c>
      <c r="C21" s="4" t="s">
        <v>22</v>
      </c>
      <c r="D21" t="s">
        <v>2</v>
      </c>
      <c r="F21" s="3">
        <v>28.05</v>
      </c>
    </row>
    <row r="22" spans="1:6">
      <c r="A22" s="63">
        <v>46241</v>
      </c>
      <c r="B22" s="2" t="str">
        <f>TEXT(Transaction[[#This Row],[Date]], "dddd")</f>
        <v>Friday</v>
      </c>
      <c r="C22" s="4" t="s">
        <v>9</v>
      </c>
      <c r="D22" t="s">
        <v>31</v>
      </c>
      <c r="F22" s="3">
        <v>52</v>
      </c>
    </row>
    <row r="23" spans="1:6">
      <c r="A23" s="63">
        <v>46241</v>
      </c>
      <c r="B23" s="2" t="str">
        <f>TEXT(Transaction[[#This Row],[Date]], "dddd")</f>
        <v>Friday</v>
      </c>
      <c r="C23" s="4" t="s">
        <v>83</v>
      </c>
      <c r="D23" t="s">
        <v>36</v>
      </c>
      <c r="F23" s="3">
        <v>29.9</v>
      </c>
    </row>
    <row r="24" spans="1:6">
      <c r="A24" s="63">
        <v>46242</v>
      </c>
      <c r="B24" s="2" t="str">
        <f>TEXT(Transaction[[#This Row],[Date]], "dddd")</f>
        <v>Saturday</v>
      </c>
      <c r="C24" s="4" t="s">
        <v>14</v>
      </c>
      <c r="D24" t="s">
        <v>32</v>
      </c>
      <c r="F24" s="3">
        <v>29</v>
      </c>
    </row>
    <row r="25" spans="1:6">
      <c r="A25" s="63">
        <v>46242</v>
      </c>
      <c r="B25" s="2" t="str">
        <f>TEXT(Transaction[[#This Row],[Date]], "dddd")</f>
        <v>Saturday</v>
      </c>
      <c r="C25" s="4" t="s">
        <v>22</v>
      </c>
      <c r="D25" t="s">
        <v>4</v>
      </c>
      <c r="F25" s="3">
        <v>18.899999999999999</v>
      </c>
    </row>
    <row r="26" spans="1:6">
      <c r="A26" s="63">
        <v>46242</v>
      </c>
      <c r="B26" s="2" t="str">
        <f>TEXT(Transaction[[#This Row],[Date]], "dddd")</f>
        <v>Saturday</v>
      </c>
      <c r="C26" s="4" t="s">
        <v>22</v>
      </c>
      <c r="D26" t="s">
        <v>2</v>
      </c>
      <c r="F26" s="3">
        <v>14.6</v>
      </c>
    </row>
    <row r="27" spans="1:6">
      <c r="A27" s="63">
        <v>46243</v>
      </c>
      <c r="B27" s="2" t="str">
        <f>TEXT(Transaction[[#This Row],[Date]], "dddd")</f>
        <v>Sunday</v>
      </c>
      <c r="C27" s="4" t="s">
        <v>22</v>
      </c>
      <c r="D27" t="s">
        <v>26</v>
      </c>
      <c r="F27" s="3">
        <v>4.8</v>
      </c>
    </row>
    <row r="28" spans="1:6">
      <c r="A28" s="63">
        <v>46243</v>
      </c>
      <c r="B28" s="2" t="str">
        <f>TEXT(Transaction[[#This Row],[Date]], "dddd")</f>
        <v>Sunday</v>
      </c>
      <c r="C28" s="4" t="s">
        <v>22</v>
      </c>
      <c r="D28" t="s">
        <v>4</v>
      </c>
      <c r="F28" s="3">
        <v>8</v>
      </c>
    </row>
    <row r="29" spans="1:6">
      <c r="A29" s="63">
        <v>46243</v>
      </c>
      <c r="B29" s="2" t="str">
        <f>TEXT(Transaction[[#This Row],[Date]], "dddd")</f>
        <v>Sunday</v>
      </c>
      <c r="C29" s="4" t="s">
        <v>22</v>
      </c>
      <c r="D29" t="s">
        <v>2</v>
      </c>
      <c r="F29" s="3">
        <v>11</v>
      </c>
    </row>
    <row r="30" spans="1:6">
      <c r="A30" s="63">
        <v>46243</v>
      </c>
      <c r="B30" s="2" t="str">
        <f>TEXT(Transaction[[#This Row],[Date]], "dddd")</f>
        <v>Sunday</v>
      </c>
      <c r="C30" s="4" t="s">
        <v>22</v>
      </c>
      <c r="D30" t="s">
        <v>3</v>
      </c>
      <c r="E30" t="s">
        <v>41</v>
      </c>
      <c r="F30" s="3">
        <v>5.2</v>
      </c>
    </row>
    <row r="31" spans="1:6">
      <c r="A31" s="63">
        <v>46243</v>
      </c>
      <c r="B31" s="2" t="str">
        <f>TEXT(Transaction[[#This Row],[Date]], "dddd")</f>
        <v>Sunday</v>
      </c>
      <c r="C31" s="4" t="s">
        <v>11</v>
      </c>
      <c r="D31" t="s">
        <v>33</v>
      </c>
      <c r="F31" s="3">
        <v>220</v>
      </c>
    </row>
    <row r="32" spans="1:6">
      <c r="A32" s="63">
        <v>46244</v>
      </c>
      <c r="B32" s="2" t="str">
        <f>TEXT(Transaction[[#This Row],[Date]], "dddd")</f>
        <v>Monday</v>
      </c>
      <c r="C32" s="4" t="s">
        <v>22</v>
      </c>
      <c r="D32" t="s">
        <v>4</v>
      </c>
      <c r="F32" s="3">
        <v>9</v>
      </c>
    </row>
    <row r="33" spans="1:6">
      <c r="A33" s="63">
        <v>46244</v>
      </c>
      <c r="B33" s="2" t="str">
        <f>TEXT(Transaction[[#This Row],[Date]], "dddd")</f>
        <v>Monday</v>
      </c>
      <c r="C33" s="4" t="s">
        <v>22</v>
      </c>
      <c r="D33" t="s">
        <v>2</v>
      </c>
      <c r="F33" s="3">
        <v>14.9</v>
      </c>
    </row>
    <row r="34" spans="1:6">
      <c r="A34" s="63">
        <v>46245</v>
      </c>
      <c r="B34" s="2" t="str">
        <f>TEXT(Transaction[[#This Row],[Date]], "dddd")</f>
        <v>Tuesday</v>
      </c>
      <c r="C34" s="4" t="s">
        <v>22</v>
      </c>
      <c r="D34" t="s">
        <v>4</v>
      </c>
      <c r="F34" s="3">
        <v>7</v>
      </c>
    </row>
    <row r="35" spans="1:6">
      <c r="A35" s="63">
        <v>46245</v>
      </c>
      <c r="B35" s="2" t="str">
        <f>TEXT(Transaction[[#This Row],[Date]], "dddd")</f>
        <v>Tuesday</v>
      </c>
      <c r="C35" s="4" t="s">
        <v>22</v>
      </c>
      <c r="D35" t="s">
        <v>2</v>
      </c>
      <c r="F35" s="3">
        <v>15.3</v>
      </c>
    </row>
    <row r="36" spans="1:6">
      <c r="A36" s="63">
        <v>46245</v>
      </c>
      <c r="B36" s="2" t="str">
        <f>TEXT(Transaction[[#This Row],[Date]], "dddd")</f>
        <v>Tuesday</v>
      </c>
      <c r="C36" s="4" t="s">
        <v>22</v>
      </c>
      <c r="D36" t="s">
        <v>30</v>
      </c>
      <c r="F36" s="3">
        <v>3</v>
      </c>
    </row>
    <row r="37" spans="1:6">
      <c r="A37" s="63">
        <v>46246</v>
      </c>
      <c r="B37" s="2" t="str">
        <f>TEXT(Transaction[[#This Row],[Date]], "dddd")</f>
        <v>Wednesday</v>
      </c>
      <c r="C37" s="4" t="s">
        <v>22</v>
      </c>
      <c r="D37" t="s">
        <v>24</v>
      </c>
      <c r="F37" s="3">
        <v>13.1</v>
      </c>
    </row>
    <row r="38" spans="1:6">
      <c r="A38" s="63">
        <v>46246</v>
      </c>
      <c r="B38" s="2" t="str">
        <f>TEXT(Transaction[[#This Row],[Date]], "dddd")</f>
        <v>Wednesday</v>
      </c>
      <c r="C38" s="4" t="s">
        <v>22</v>
      </c>
      <c r="D38" t="s">
        <v>2</v>
      </c>
      <c r="F38" s="3">
        <v>24</v>
      </c>
    </row>
    <row r="39" spans="1:6">
      <c r="A39" s="63">
        <v>46247</v>
      </c>
      <c r="B39" s="2" t="str">
        <f>TEXT(Transaction[[#This Row],[Date]], "dddd")</f>
        <v>Thursday</v>
      </c>
      <c r="C39" s="4" t="s">
        <v>22</v>
      </c>
      <c r="D39" t="s">
        <v>3</v>
      </c>
      <c r="F39" s="3">
        <v>9.1</v>
      </c>
    </row>
    <row r="40" spans="1:6">
      <c r="A40" s="63">
        <v>46247</v>
      </c>
      <c r="B40" s="2" t="str">
        <f>TEXT(Transaction[[#This Row],[Date]], "dddd")</f>
        <v>Thursday</v>
      </c>
      <c r="C40" s="4" t="s">
        <v>22</v>
      </c>
      <c r="D40" t="s">
        <v>2</v>
      </c>
      <c r="F40" s="3">
        <v>24.3</v>
      </c>
    </row>
    <row r="41" spans="1:6">
      <c r="A41" s="63">
        <v>46247</v>
      </c>
      <c r="B41" s="2" t="str">
        <f>TEXT(Transaction[[#This Row],[Date]], "dddd")</f>
        <v>Thursday</v>
      </c>
      <c r="C41" s="4" t="s">
        <v>13</v>
      </c>
      <c r="D41" t="s">
        <v>40</v>
      </c>
      <c r="F41" s="3">
        <v>11</v>
      </c>
    </row>
    <row r="42" spans="1:6">
      <c r="A42" s="63">
        <v>46248</v>
      </c>
      <c r="B42" s="2" t="str">
        <f>TEXT(Transaction[[#This Row],[Date]], "dddd")</f>
        <v>Friday</v>
      </c>
      <c r="C42" s="4" t="s">
        <v>25</v>
      </c>
      <c r="D42" t="s">
        <v>19</v>
      </c>
      <c r="F42" s="3">
        <v>11.05</v>
      </c>
    </row>
    <row r="43" spans="1:6">
      <c r="A43" s="63">
        <v>46248</v>
      </c>
      <c r="B43" s="2" t="str">
        <f>TEXT(Transaction[[#This Row],[Date]], "dddd")</f>
        <v>Friday</v>
      </c>
      <c r="C43" s="4" t="s">
        <v>22</v>
      </c>
      <c r="D43" t="s">
        <v>3</v>
      </c>
      <c r="F43" s="3">
        <v>3.3</v>
      </c>
    </row>
    <row r="44" spans="1:6">
      <c r="A44" s="63">
        <v>46248</v>
      </c>
      <c r="B44" s="2" t="str">
        <f>TEXT(Transaction[[#This Row],[Date]], "dddd")</f>
        <v>Friday</v>
      </c>
      <c r="C44" s="4" t="s">
        <v>22</v>
      </c>
      <c r="D44" t="s">
        <v>4</v>
      </c>
      <c r="F44" s="3">
        <v>13.5</v>
      </c>
    </row>
    <row r="45" spans="1:6">
      <c r="A45" s="63">
        <v>46248</v>
      </c>
      <c r="B45" s="2" t="str">
        <f>TEXT(Transaction[[#This Row],[Date]], "dddd")</f>
        <v>Friday</v>
      </c>
      <c r="C45" s="4" t="s">
        <v>22</v>
      </c>
      <c r="D45" t="s">
        <v>26</v>
      </c>
      <c r="F45" s="3">
        <v>3.5</v>
      </c>
    </row>
    <row r="46" spans="1:6">
      <c r="A46" s="63">
        <v>46248</v>
      </c>
      <c r="B46" s="2" t="str">
        <f>TEXT(Transaction[[#This Row],[Date]], "dddd")</f>
        <v>Friday</v>
      </c>
      <c r="C46" s="4" t="s">
        <v>22</v>
      </c>
      <c r="D46" t="s">
        <v>2</v>
      </c>
      <c r="F46" s="3">
        <v>27.5</v>
      </c>
    </row>
    <row r="47" spans="1:6">
      <c r="A47" s="63">
        <v>46248</v>
      </c>
      <c r="B47" s="2" t="str">
        <f>TEXT(Transaction[[#This Row],[Date]], "dddd")</f>
        <v>Friday</v>
      </c>
      <c r="C47" s="4" t="s">
        <v>22</v>
      </c>
      <c r="D47" t="s">
        <v>42</v>
      </c>
      <c r="F47" s="3">
        <v>8.5</v>
      </c>
    </row>
    <row r="48" spans="1:6">
      <c r="A48" s="63">
        <v>46249</v>
      </c>
      <c r="B48" s="2" t="str">
        <f>TEXT(Transaction[[#This Row],[Date]], "dddd")</f>
        <v>Saturday</v>
      </c>
      <c r="C48" s="4" t="s">
        <v>22</v>
      </c>
      <c r="D48" t="s">
        <v>24</v>
      </c>
      <c r="F48" s="3">
        <v>18.899999999999999</v>
      </c>
    </row>
    <row r="49" spans="1:6">
      <c r="A49" s="63">
        <v>46249</v>
      </c>
      <c r="B49" s="2" t="str">
        <f>TEXT(Transaction[[#This Row],[Date]], "dddd")</f>
        <v>Saturday</v>
      </c>
      <c r="C49" s="4" t="s">
        <v>22</v>
      </c>
      <c r="D49" t="s">
        <v>2</v>
      </c>
      <c r="F49" s="3">
        <v>19.3</v>
      </c>
    </row>
    <row r="50" spans="1:6">
      <c r="A50" s="63">
        <v>46250</v>
      </c>
      <c r="B50" s="2" t="str">
        <f>TEXT(Transaction[[#This Row],[Date]], "dddd")</f>
        <v>Sunday</v>
      </c>
      <c r="C50" s="4" t="s">
        <v>22</v>
      </c>
      <c r="D50" t="s">
        <v>4</v>
      </c>
      <c r="F50" s="3">
        <v>11</v>
      </c>
    </row>
    <row r="51" spans="1:6">
      <c r="A51" s="63">
        <v>46250</v>
      </c>
      <c r="B51" s="2" t="str">
        <f>TEXT(Transaction[[#This Row],[Date]], "dddd")</f>
        <v>Sunday</v>
      </c>
      <c r="C51" s="4" t="s">
        <v>22</v>
      </c>
      <c r="D51" t="s">
        <v>2</v>
      </c>
      <c r="F51" s="3">
        <v>15</v>
      </c>
    </row>
    <row r="52" spans="1:6">
      <c r="A52" s="63">
        <v>46250</v>
      </c>
      <c r="B52" s="2" t="str">
        <f>TEXT(Transaction[[#This Row],[Date]], "dddd")</f>
        <v>Sunday</v>
      </c>
      <c r="C52" s="4" t="s">
        <v>22</v>
      </c>
      <c r="D52" t="s">
        <v>3</v>
      </c>
      <c r="E52" t="s">
        <v>43</v>
      </c>
      <c r="F52" s="3">
        <v>8.8000000000000007</v>
      </c>
    </row>
    <row r="53" spans="1:6">
      <c r="A53" s="63">
        <v>46251</v>
      </c>
      <c r="B53" s="2" t="str">
        <f>TEXT(Transaction[[#This Row],[Date]], "dddd")</f>
        <v>Monday</v>
      </c>
      <c r="C53" s="4" t="s">
        <v>22</v>
      </c>
      <c r="D53" t="s">
        <v>4</v>
      </c>
      <c r="F53" s="3">
        <v>10</v>
      </c>
    </row>
    <row r="54" spans="1:6">
      <c r="A54" s="63">
        <v>46251</v>
      </c>
      <c r="B54" s="2" t="str">
        <f>TEXT(Transaction[[#This Row],[Date]], "dddd")</f>
        <v>Monday</v>
      </c>
      <c r="C54" s="4" t="s">
        <v>22</v>
      </c>
      <c r="D54" t="s">
        <v>30</v>
      </c>
      <c r="F54" s="3">
        <v>20</v>
      </c>
    </row>
    <row r="55" spans="1:6">
      <c r="A55" s="63">
        <v>46251</v>
      </c>
      <c r="B55" s="2" t="str">
        <f>TEXT(Transaction[[#This Row],[Date]], "dddd")</f>
        <v>Monday</v>
      </c>
      <c r="C55" s="4" t="s">
        <v>22</v>
      </c>
      <c r="D55" t="s">
        <v>2</v>
      </c>
      <c r="F55" s="3">
        <v>14.2</v>
      </c>
    </row>
    <row r="56" spans="1:6">
      <c r="A56" s="63">
        <v>46252</v>
      </c>
      <c r="B56" s="2" t="str">
        <f>TEXT(Transaction[[#This Row],[Date]], "dddd")</f>
        <v>Tuesday</v>
      </c>
      <c r="C56" s="4" t="s">
        <v>22</v>
      </c>
      <c r="D56" t="s">
        <v>4</v>
      </c>
      <c r="F56" s="3">
        <v>12.7</v>
      </c>
    </row>
    <row r="57" spans="1:6">
      <c r="A57" s="63">
        <v>46252</v>
      </c>
      <c r="B57" s="2" t="str">
        <f>TEXT(Transaction[[#This Row],[Date]], "dddd")</f>
        <v>Tuesday</v>
      </c>
      <c r="C57" s="4" t="s">
        <v>22</v>
      </c>
      <c r="D57" t="s">
        <v>2</v>
      </c>
      <c r="F57" s="3">
        <v>19</v>
      </c>
    </row>
    <row r="58" spans="1:6">
      <c r="A58" s="63">
        <v>46253</v>
      </c>
      <c r="B58" s="2" t="str">
        <f>TEXT(Transaction[[#This Row],[Date]], "dddd")</f>
        <v>Wednesday</v>
      </c>
      <c r="C58" s="4" t="s">
        <v>22</v>
      </c>
      <c r="D58" t="s">
        <v>2</v>
      </c>
      <c r="F58" s="3">
        <v>15.5</v>
      </c>
    </row>
    <row r="59" spans="1:6">
      <c r="A59" s="63">
        <v>46253</v>
      </c>
      <c r="B59" s="2" t="str">
        <f>TEXT(Transaction[[#This Row],[Date]], "dddd")</f>
        <v>Wednesday</v>
      </c>
      <c r="C59" s="4" t="s">
        <v>22</v>
      </c>
      <c r="D59" t="s">
        <v>26</v>
      </c>
      <c r="F59" s="3">
        <v>3.5</v>
      </c>
    </row>
    <row r="60" spans="1:6">
      <c r="A60" s="63">
        <v>46253</v>
      </c>
      <c r="B60" s="2" t="str">
        <f>TEXT(Transaction[[#This Row],[Date]], "dddd")</f>
        <v>Wednesday</v>
      </c>
      <c r="C60" s="4" t="s">
        <v>22</v>
      </c>
      <c r="D60" t="s">
        <v>4</v>
      </c>
      <c r="F60" s="3">
        <v>13.5</v>
      </c>
    </row>
    <row r="61" spans="1:6">
      <c r="A61" s="63">
        <v>46253</v>
      </c>
      <c r="B61" s="2" t="str">
        <f>TEXT(Transaction[[#This Row],[Date]], "dddd")</f>
        <v>Wednesday</v>
      </c>
      <c r="C61" s="4" t="s">
        <v>13</v>
      </c>
      <c r="D61" t="s">
        <v>40</v>
      </c>
      <c r="F61" s="3">
        <v>21.5</v>
      </c>
    </row>
    <row r="62" spans="1:6">
      <c r="A62" s="63">
        <v>46253</v>
      </c>
      <c r="B62" s="2" t="str">
        <f>TEXT(Transaction[[#This Row],[Date]], "dddd")</f>
        <v>Wednesday</v>
      </c>
      <c r="C62" s="4" t="s">
        <v>8</v>
      </c>
      <c r="D62" t="s">
        <v>15</v>
      </c>
      <c r="F62" s="3">
        <v>51.3</v>
      </c>
    </row>
    <row r="63" spans="1:6">
      <c r="A63" s="63">
        <v>46254</v>
      </c>
      <c r="B63" s="2" t="str">
        <f>TEXT(Transaction[[#This Row],[Date]], "dddd")</f>
        <v>Thursday</v>
      </c>
      <c r="C63" s="4" t="s">
        <v>25</v>
      </c>
      <c r="D63" t="s">
        <v>20</v>
      </c>
      <c r="F63" s="3">
        <v>110</v>
      </c>
    </row>
    <row r="64" spans="1:6">
      <c r="A64" s="63">
        <v>46254</v>
      </c>
      <c r="B64" s="2" t="str">
        <f>TEXT(Transaction[[#This Row],[Date]], "dddd")</f>
        <v>Thursday</v>
      </c>
      <c r="C64" s="4" t="s">
        <v>22</v>
      </c>
      <c r="D64" t="s">
        <v>2</v>
      </c>
      <c r="F64" s="3">
        <v>13.5</v>
      </c>
    </row>
    <row r="65" spans="1:7">
      <c r="A65" s="63">
        <v>46254</v>
      </c>
      <c r="B65" s="2" t="str">
        <f>TEXT(Transaction[[#This Row],[Date]], "dddd")</f>
        <v>Thursday</v>
      </c>
      <c r="C65" s="4" t="s">
        <v>22</v>
      </c>
      <c r="D65" t="s">
        <v>3</v>
      </c>
      <c r="F65" s="3">
        <v>6.7</v>
      </c>
    </row>
    <row r="66" spans="1:7">
      <c r="A66" s="63">
        <v>46254</v>
      </c>
      <c r="B66" s="2" t="str">
        <f>TEXT(Transaction[[#This Row],[Date]], "dddd")</f>
        <v>Thursday</v>
      </c>
      <c r="C66" s="4" t="s">
        <v>22</v>
      </c>
      <c r="D66" t="s">
        <v>4</v>
      </c>
      <c r="F66" s="3">
        <v>14.5</v>
      </c>
    </row>
    <row r="67" spans="1:7">
      <c r="A67" s="63">
        <v>46254</v>
      </c>
      <c r="B67" s="2" t="str">
        <f>TEXT(Transaction[[#This Row],[Date]], "dddd")</f>
        <v>Thursday</v>
      </c>
      <c r="C67" s="4" t="s">
        <v>25</v>
      </c>
      <c r="D67" t="s">
        <v>44</v>
      </c>
      <c r="F67" s="3">
        <v>90</v>
      </c>
    </row>
    <row r="68" spans="1:7">
      <c r="A68" s="63">
        <v>46255</v>
      </c>
      <c r="B68" s="2" t="str">
        <f>TEXT(Transaction[[#This Row],[Date]], "dddd")</f>
        <v>Friday</v>
      </c>
      <c r="C68" s="4" t="s">
        <v>22</v>
      </c>
      <c r="D68" t="s">
        <v>2</v>
      </c>
      <c r="F68" s="3">
        <v>27.5</v>
      </c>
    </row>
    <row r="69" spans="1:7">
      <c r="A69" s="63">
        <v>46255</v>
      </c>
      <c r="B69" s="2" t="str">
        <f>TEXT(Transaction[[#This Row],[Date]], "dddd")</f>
        <v>Friday</v>
      </c>
      <c r="C69" s="4" t="s">
        <v>12</v>
      </c>
      <c r="D69" t="s">
        <v>34</v>
      </c>
      <c r="F69" s="3">
        <v>27.5</v>
      </c>
    </row>
    <row r="70" spans="1:7">
      <c r="A70" s="63">
        <v>46255</v>
      </c>
      <c r="B70" s="2" t="str">
        <f>TEXT(Transaction[[#This Row],[Date]], "dddd")</f>
        <v>Friday</v>
      </c>
      <c r="C70" s="4" t="s">
        <v>8</v>
      </c>
      <c r="D70" t="s">
        <v>16</v>
      </c>
      <c r="F70" s="3">
        <v>4.2</v>
      </c>
    </row>
    <row r="71" spans="1:7">
      <c r="A71" s="63">
        <v>46255</v>
      </c>
      <c r="B71" s="2" t="str">
        <f>TEXT(Transaction[[#This Row],[Date]], "dddd")</f>
        <v>Friday</v>
      </c>
      <c r="C71" s="4" t="s">
        <v>8</v>
      </c>
      <c r="D71" t="s">
        <v>17</v>
      </c>
      <c r="F71" s="3">
        <v>6</v>
      </c>
    </row>
    <row r="72" spans="1:7">
      <c r="A72" s="63">
        <v>46255</v>
      </c>
      <c r="B72" s="2" t="str">
        <f>TEXT(Transaction[[#This Row],[Date]], "dddd")</f>
        <v>Friday</v>
      </c>
      <c r="C72" s="4" t="s">
        <v>22</v>
      </c>
      <c r="D72" t="s">
        <v>24</v>
      </c>
      <c r="F72" s="3">
        <v>13.7</v>
      </c>
    </row>
    <row r="73" spans="1:7">
      <c r="A73" s="63">
        <v>46256</v>
      </c>
      <c r="B73" s="2" t="str">
        <f>TEXT(Transaction[[#This Row],[Date]], "dddd")</f>
        <v>Saturday</v>
      </c>
      <c r="C73" s="4" t="s">
        <v>10</v>
      </c>
      <c r="D73" t="s">
        <v>38</v>
      </c>
      <c r="F73" s="3">
        <v>319</v>
      </c>
      <c r="G73" s="6" t="s">
        <v>86</v>
      </c>
    </row>
    <row r="74" spans="1:7">
      <c r="A74" s="63">
        <v>46256</v>
      </c>
      <c r="B74" s="2" t="str">
        <f>TEXT(Transaction[[#This Row],[Date]], "dddd")</f>
        <v>Saturday</v>
      </c>
      <c r="C74" s="4" t="s">
        <v>8</v>
      </c>
      <c r="D74" t="s">
        <v>17</v>
      </c>
      <c r="F74" s="3">
        <v>3</v>
      </c>
    </row>
    <row r="75" spans="1:7">
      <c r="A75" s="63">
        <v>46256</v>
      </c>
      <c r="B75" s="2" t="str">
        <f>TEXT(Transaction[[#This Row],[Date]], "dddd")</f>
        <v>Saturday</v>
      </c>
      <c r="C75" s="4" t="s">
        <v>22</v>
      </c>
      <c r="D75" t="s">
        <v>30</v>
      </c>
      <c r="F75" s="3">
        <v>4</v>
      </c>
    </row>
    <row r="76" spans="1:7">
      <c r="A76" s="63">
        <v>46256</v>
      </c>
      <c r="B76" s="2" t="str">
        <f>TEXT(Transaction[[#This Row],[Date]], "dddd")</f>
        <v>Saturday</v>
      </c>
      <c r="C76" s="4" t="s">
        <v>22</v>
      </c>
      <c r="D76" t="s">
        <v>4</v>
      </c>
      <c r="F76" s="3">
        <v>13</v>
      </c>
    </row>
    <row r="77" spans="1:7">
      <c r="A77" s="63">
        <v>46257</v>
      </c>
      <c r="B77" s="2" t="str">
        <f>TEXT(Transaction[[#This Row],[Date]], "dddd")</f>
        <v>Sunday</v>
      </c>
      <c r="C77" s="4" t="s">
        <v>22</v>
      </c>
      <c r="D77" t="s">
        <v>2</v>
      </c>
      <c r="F77" s="3">
        <v>11</v>
      </c>
    </row>
    <row r="78" spans="1:7">
      <c r="A78" s="63">
        <v>46257</v>
      </c>
      <c r="B78" s="2" t="str">
        <f>TEXT(Transaction[[#This Row],[Date]], "dddd")</f>
        <v>Sunday</v>
      </c>
      <c r="C78" s="4" t="s">
        <v>22</v>
      </c>
      <c r="D78" t="s">
        <v>4</v>
      </c>
      <c r="F78" s="3">
        <v>21</v>
      </c>
    </row>
    <row r="79" spans="1:7">
      <c r="A79" s="63">
        <v>46257</v>
      </c>
      <c r="B79" s="2" t="str">
        <f>TEXT(Transaction[[#This Row],[Date]], "dddd")</f>
        <v>Sunday</v>
      </c>
      <c r="C79" s="4" t="s">
        <v>8</v>
      </c>
      <c r="D79" t="s">
        <v>17</v>
      </c>
      <c r="F79" s="3">
        <v>1</v>
      </c>
    </row>
    <row r="80" spans="1:7">
      <c r="A80" s="63">
        <v>46257</v>
      </c>
      <c r="B80" s="2" t="str">
        <f>TEXT(Transaction[[#This Row],[Date]], "dddd")</f>
        <v>Sunday</v>
      </c>
      <c r="C80" s="4" t="s">
        <v>22</v>
      </c>
      <c r="D80" t="s">
        <v>3</v>
      </c>
      <c r="F80" s="3">
        <v>15.9</v>
      </c>
    </row>
    <row r="81" spans="1:6">
      <c r="A81" s="63">
        <v>46258</v>
      </c>
      <c r="B81" s="2" t="str">
        <f>TEXT(Transaction[[#This Row],[Date]], "dddd")</f>
        <v>Monday</v>
      </c>
      <c r="C81" s="4" t="s">
        <v>22</v>
      </c>
      <c r="D81" t="s">
        <v>26</v>
      </c>
      <c r="F81" s="3">
        <v>7.9</v>
      </c>
    </row>
    <row r="82" spans="1:6">
      <c r="A82" s="63">
        <v>46258</v>
      </c>
      <c r="B82" s="2" t="str">
        <f>TEXT(Transaction[[#This Row],[Date]], "dddd")</f>
        <v>Monday</v>
      </c>
      <c r="C82" s="4" t="s">
        <v>22</v>
      </c>
      <c r="D82" t="s">
        <v>4</v>
      </c>
      <c r="F82" s="3">
        <v>10</v>
      </c>
    </row>
    <row r="83" spans="1:6">
      <c r="A83" s="63">
        <v>46258</v>
      </c>
      <c r="B83" s="2" t="str">
        <f>TEXT(Transaction[[#This Row],[Date]], "dddd")</f>
        <v>Monday</v>
      </c>
      <c r="C83" s="4" t="s">
        <v>12</v>
      </c>
      <c r="D83" t="s">
        <v>34</v>
      </c>
      <c r="F83" s="3">
        <v>22.5</v>
      </c>
    </row>
    <row r="84" spans="1:6">
      <c r="A84" s="63">
        <v>46258</v>
      </c>
      <c r="B84" s="2" t="str">
        <f>TEXT(Transaction[[#This Row],[Date]], "dddd")</f>
        <v>Monday</v>
      </c>
      <c r="C84" s="4" t="s">
        <v>22</v>
      </c>
      <c r="D84" t="s">
        <v>2</v>
      </c>
      <c r="F84" s="3">
        <v>24</v>
      </c>
    </row>
    <row r="85" spans="1:6">
      <c r="A85" s="63">
        <v>46258</v>
      </c>
      <c r="B85" s="2" t="str">
        <f>TEXT(Transaction[[#This Row],[Date]], "dddd")</f>
        <v>Monday</v>
      </c>
      <c r="C85" s="4" t="s">
        <v>10</v>
      </c>
      <c r="D85" t="s">
        <v>45</v>
      </c>
      <c r="F85" s="3">
        <v>10.5</v>
      </c>
    </row>
    <row r="86" spans="1:6">
      <c r="A86" s="63">
        <v>46259</v>
      </c>
      <c r="B86" s="2" t="str">
        <f>TEXT(Transaction[[#This Row],[Date]], "dddd")</f>
        <v>Tuesday</v>
      </c>
      <c r="C86" s="4" t="s">
        <v>22</v>
      </c>
      <c r="D86" t="s">
        <v>24</v>
      </c>
      <c r="F86" s="3">
        <v>18.86</v>
      </c>
    </row>
    <row r="87" spans="1:6">
      <c r="A87" s="63">
        <v>46259</v>
      </c>
      <c r="B87" s="2" t="str">
        <f>TEXT(Transaction[[#This Row],[Date]], "dddd")</f>
        <v>Tuesday</v>
      </c>
      <c r="C87" s="4" t="s">
        <v>22</v>
      </c>
      <c r="D87" t="s">
        <v>2</v>
      </c>
      <c r="F87" s="3">
        <v>17</v>
      </c>
    </row>
    <row r="88" spans="1:6">
      <c r="A88" s="63">
        <v>46259</v>
      </c>
      <c r="B88" s="2" t="str">
        <f>TEXT(Transaction[[#This Row],[Date]], "dddd")</f>
        <v>Tuesday</v>
      </c>
      <c r="C88" s="4" t="s">
        <v>83</v>
      </c>
      <c r="D88" t="s">
        <v>35</v>
      </c>
      <c r="F88" s="3">
        <v>3.9</v>
      </c>
    </row>
    <row r="89" spans="1:6">
      <c r="A89" s="63">
        <v>46259</v>
      </c>
      <c r="B89" s="2" t="str">
        <f>TEXT(Transaction[[#This Row],[Date]], "dddd")</f>
        <v>Tuesday</v>
      </c>
      <c r="C89" s="4" t="s">
        <v>83</v>
      </c>
      <c r="D89" t="s">
        <v>48</v>
      </c>
      <c r="F89" s="3">
        <v>10</v>
      </c>
    </row>
    <row r="90" spans="1:6">
      <c r="A90" s="63">
        <v>46260</v>
      </c>
      <c r="B90" s="2" t="str">
        <f>TEXT(Transaction[[#This Row],[Date]], "dddd")</f>
        <v>Wednesday</v>
      </c>
      <c r="C90" s="4" t="s">
        <v>22</v>
      </c>
      <c r="D90" t="s">
        <v>46</v>
      </c>
      <c r="F90" s="3">
        <v>15.6</v>
      </c>
    </row>
    <row r="91" spans="1:6">
      <c r="A91" s="63">
        <v>46260</v>
      </c>
      <c r="B91" s="2" t="str">
        <f>TEXT(Transaction[[#This Row],[Date]], "dddd")</f>
        <v>Wednesday</v>
      </c>
      <c r="C91" s="4" t="s">
        <v>22</v>
      </c>
      <c r="D91" t="s">
        <v>2</v>
      </c>
      <c r="F91" s="3">
        <v>17.899999999999999</v>
      </c>
    </row>
    <row r="92" spans="1:6">
      <c r="A92" s="63">
        <v>46261</v>
      </c>
      <c r="B92" s="2" t="str">
        <f>TEXT(Transaction[[#This Row],[Date]], "dddd")</f>
        <v>Thursday</v>
      </c>
      <c r="C92" s="4" t="s">
        <v>22</v>
      </c>
      <c r="D92" t="s">
        <v>3</v>
      </c>
      <c r="F92" s="3">
        <v>10</v>
      </c>
    </row>
    <row r="93" spans="1:6">
      <c r="A93" s="63">
        <v>46261</v>
      </c>
      <c r="B93" s="2" t="str">
        <f>TEXT(Transaction[[#This Row],[Date]], "dddd")</f>
        <v>Thursday</v>
      </c>
      <c r="C93" s="4" t="s">
        <v>22</v>
      </c>
      <c r="D93" t="s">
        <v>2</v>
      </c>
      <c r="F93" s="3">
        <v>21.1</v>
      </c>
    </row>
    <row r="94" spans="1:6">
      <c r="A94" s="63">
        <v>46262</v>
      </c>
      <c r="B94" s="2" t="str">
        <f>TEXT(Transaction[[#This Row],[Date]], "dddd")</f>
        <v>Friday</v>
      </c>
      <c r="C94" s="4" t="s">
        <v>22</v>
      </c>
      <c r="D94" t="s">
        <v>2</v>
      </c>
      <c r="F94" s="3">
        <v>21.5</v>
      </c>
    </row>
    <row r="95" spans="1:6">
      <c r="A95" s="63">
        <v>46262</v>
      </c>
      <c r="B95" s="2" t="str">
        <f>TEXT(Transaction[[#This Row],[Date]], "dddd")</f>
        <v>Friday</v>
      </c>
      <c r="C95" s="4" t="s">
        <v>22</v>
      </c>
      <c r="D95" t="s">
        <v>3</v>
      </c>
      <c r="F95" s="3">
        <v>7.5</v>
      </c>
    </row>
    <row r="96" spans="1:6">
      <c r="A96" s="63">
        <v>46262</v>
      </c>
      <c r="B96" s="2" t="str">
        <f>TEXT(Transaction[[#This Row],[Date]], "dddd")</f>
        <v>Friday</v>
      </c>
      <c r="C96" s="4" t="s">
        <v>22</v>
      </c>
      <c r="D96" t="s">
        <v>4</v>
      </c>
      <c r="F96" s="3">
        <v>13.5</v>
      </c>
    </row>
    <row r="97" spans="1:6">
      <c r="A97" s="63">
        <v>46262</v>
      </c>
      <c r="B97" s="2" t="str">
        <f>TEXT(Transaction[[#This Row],[Date]], "dddd")</f>
        <v>Friday</v>
      </c>
      <c r="C97" s="4" t="s">
        <v>22</v>
      </c>
      <c r="D97" t="s">
        <v>42</v>
      </c>
      <c r="F97" s="3">
        <v>3.8</v>
      </c>
    </row>
    <row r="98" spans="1:6">
      <c r="A98" s="63">
        <v>46263</v>
      </c>
      <c r="B98" s="2" t="str">
        <f>TEXT(Transaction[[#This Row],[Date]], "dddd")</f>
        <v>Saturday</v>
      </c>
      <c r="C98" s="4" t="s">
        <v>22</v>
      </c>
      <c r="D98" t="s">
        <v>24</v>
      </c>
      <c r="F98" s="3">
        <v>18</v>
      </c>
    </row>
    <row r="99" spans="1:6">
      <c r="A99" s="63">
        <v>46263</v>
      </c>
      <c r="B99" s="2" t="str">
        <f>TEXT(Transaction[[#This Row],[Date]], "dddd")</f>
        <v>Saturday</v>
      </c>
      <c r="C99" s="4" t="s">
        <v>22</v>
      </c>
      <c r="D99" t="s">
        <v>2</v>
      </c>
      <c r="F99" s="3">
        <v>18</v>
      </c>
    </row>
    <row r="100" spans="1:6">
      <c r="A100" s="63">
        <v>46263</v>
      </c>
      <c r="B100" s="2" t="str">
        <f>TEXT(Transaction[[#This Row],[Date]], "dddd")</f>
        <v>Saturday</v>
      </c>
      <c r="C100" s="4" t="s">
        <v>8</v>
      </c>
      <c r="D100" t="s">
        <v>79</v>
      </c>
      <c r="F100" s="3">
        <v>120</v>
      </c>
    </row>
    <row r="101" spans="1:6">
      <c r="A101" s="63">
        <v>46264</v>
      </c>
      <c r="B101" s="2" t="str">
        <f>TEXT(Transaction[[#This Row],[Date]], "dddd")</f>
        <v>Sunday</v>
      </c>
      <c r="C101" s="4" t="s">
        <v>8</v>
      </c>
      <c r="D101" t="s">
        <v>17</v>
      </c>
      <c r="F101" s="3">
        <v>2.5</v>
      </c>
    </row>
    <row r="102" spans="1:6">
      <c r="A102" s="63">
        <v>46264</v>
      </c>
      <c r="B102" s="2" t="str">
        <f>TEXT(Transaction[[#This Row],[Date]], "dddd")</f>
        <v>Sunday</v>
      </c>
      <c r="C102" s="4" t="s">
        <v>13</v>
      </c>
      <c r="D102" t="s">
        <v>47</v>
      </c>
      <c r="E102" t="s">
        <v>49</v>
      </c>
      <c r="F102" s="3">
        <v>29</v>
      </c>
    </row>
    <row r="103" spans="1:6">
      <c r="A103" s="63">
        <v>46264</v>
      </c>
      <c r="B103" s="2" t="str">
        <f>TEXT(Transaction[[#This Row],[Date]], "dddd")</f>
        <v>Sunday</v>
      </c>
      <c r="C103" s="4" t="s">
        <v>22</v>
      </c>
      <c r="D103" t="s">
        <v>4</v>
      </c>
      <c r="F103" s="3">
        <v>12</v>
      </c>
    </row>
    <row r="104" spans="1:6">
      <c r="A104" s="63">
        <v>46264</v>
      </c>
      <c r="B104" s="2" t="str">
        <f>TEXT(Transaction[[#This Row],[Date]], "dddd")</f>
        <v>Sunday</v>
      </c>
      <c r="C104" s="4" t="s">
        <v>22</v>
      </c>
      <c r="D104" t="s">
        <v>30</v>
      </c>
      <c r="F104" s="3">
        <v>7</v>
      </c>
    </row>
    <row r="105" spans="1:6">
      <c r="A105" s="63">
        <v>46265</v>
      </c>
      <c r="B105" s="2" t="str">
        <f>TEXT(Transaction[[#This Row],[Date]], "dddd")</f>
        <v>Monday</v>
      </c>
      <c r="C105" s="4" t="s">
        <v>22</v>
      </c>
      <c r="D105" t="s">
        <v>3</v>
      </c>
      <c r="F105" s="3">
        <v>18.899999999999999</v>
      </c>
    </row>
    <row r="106" spans="1:6">
      <c r="A106" s="63">
        <v>46265</v>
      </c>
      <c r="B106" s="2" t="str">
        <f>TEXT(Transaction[[#This Row],[Date]], "dddd")</f>
        <v>Monday</v>
      </c>
      <c r="C106" s="4" t="s">
        <v>22</v>
      </c>
      <c r="D106" t="s">
        <v>2</v>
      </c>
      <c r="F106" s="3">
        <v>11.5</v>
      </c>
    </row>
    <row r="107" spans="1:6">
      <c r="A107" s="63">
        <v>46266</v>
      </c>
      <c r="B107" s="2" t="str">
        <f>TEXT(Transaction[[#This Row],[Date]], "dddd")</f>
        <v>Tuesday</v>
      </c>
      <c r="C107" s="4" t="s">
        <v>22</v>
      </c>
      <c r="D107" t="s">
        <v>3</v>
      </c>
      <c r="F107" s="3">
        <v>19</v>
      </c>
    </row>
    <row r="108" spans="1:6">
      <c r="A108" s="63">
        <v>46266</v>
      </c>
      <c r="B108" s="2" t="str">
        <f>TEXT(Transaction[[#This Row],[Date]], "dddd")</f>
        <v>Tuesday</v>
      </c>
      <c r="C108" s="4" t="s">
        <v>22</v>
      </c>
      <c r="D108" t="s">
        <v>4</v>
      </c>
      <c r="F108" s="3">
        <v>9</v>
      </c>
    </row>
    <row r="109" spans="1:6">
      <c r="A109" s="63">
        <v>46266</v>
      </c>
      <c r="B109" s="2" t="str">
        <f>TEXT(Transaction[[#This Row],[Date]], "dddd")</f>
        <v>Tuesday</v>
      </c>
      <c r="C109" s="4" t="s">
        <v>22</v>
      </c>
      <c r="D109" t="s">
        <v>2</v>
      </c>
      <c r="F109" s="3">
        <v>15.3</v>
      </c>
    </row>
    <row r="110" spans="1:6">
      <c r="A110" s="63">
        <v>46266</v>
      </c>
      <c r="B110" s="2" t="str">
        <f>TEXT(Transaction[[#This Row],[Date]], "dddd")</f>
        <v>Tuesday</v>
      </c>
      <c r="C110" s="4" t="s">
        <v>83</v>
      </c>
      <c r="D110" t="s">
        <v>37</v>
      </c>
      <c r="F110" s="3">
        <v>20.9</v>
      </c>
    </row>
    <row r="111" spans="1:6">
      <c r="A111" s="63">
        <v>46266</v>
      </c>
      <c r="B111" s="2" t="str">
        <f>TEXT(Transaction[[#This Row],[Date]], "dddd")</f>
        <v>Tuesday</v>
      </c>
      <c r="C111" s="4" t="s">
        <v>13</v>
      </c>
      <c r="D111" t="s">
        <v>40</v>
      </c>
      <c r="E111" t="s">
        <v>70</v>
      </c>
      <c r="F111" s="3">
        <v>42.9</v>
      </c>
    </row>
    <row r="112" spans="1:6">
      <c r="A112" s="63">
        <v>46267</v>
      </c>
      <c r="B112" s="2" t="str">
        <f>TEXT(Transaction[[#This Row],[Date]], "dddd")</f>
        <v>Wednesday</v>
      </c>
      <c r="C112" s="4" t="s">
        <v>22</v>
      </c>
      <c r="D112" t="s">
        <v>46</v>
      </c>
      <c r="F112" s="3">
        <v>21.9</v>
      </c>
    </row>
    <row r="113" spans="1:6">
      <c r="A113" s="63">
        <v>46267</v>
      </c>
      <c r="B113" s="2" t="str">
        <f>TEXT(Transaction[[#This Row],[Date]], "dddd")</f>
        <v>Wednesday</v>
      </c>
      <c r="C113" s="4" t="s">
        <v>22</v>
      </c>
      <c r="D113" t="s">
        <v>2</v>
      </c>
      <c r="F113" s="3">
        <v>12.1</v>
      </c>
    </row>
    <row r="114" spans="1:6">
      <c r="A114" s="63">
        <v>46267</v>
      </c>
      <c r="B114" s="2" t="str">
        <f>TEXT(Transaction[[#This Row],[Date]], "dddd")</f>
        <v>Wednesday</v>
      </c>
      <c r="C114" s="4" t="s">
        <v>13</v>
      </c>
      <c r="D114" t="s">
        <v>40</v>
      </c>
      <c r="E114" t="s">
        <v>71</v>
      </c>
      <c r="F114" s="3">
        <v>5.67</v>
      </c>
    </row>
    <row r="115" spans="1:6">
      <c r="A115" s="63">
        <v>46268</v>
      </c>
      <c r="B115" s="2" t="str">
        <f>TEXT(Transaction[[#This Row],[Date]], "dddd")</f>
        <v>Thursday</v>
      </c>
      <c r="C115" s="4" t="s">
        <v>22</v>
      </c>
      <c r="D115" t="s">
        <v>3</v>
      </c>
      <c r="F115" s="3">
        <v>8.5</v>
      </c>
    </row>
    <row r="116" spans="1:6">
      <c r="A116" s="63">
        <v>46268</v>
      </c>
      <c r="B116" s="2" t="str">
        <f>TEXT(Transaction[[#This Row],[Date]], "dddd")</f>
        <v>Thursday</v>
      </c>
      <c r="C116" s="4" t="s">
        <v>22</v>
      </c>
      <c r="D116" t="s">
        <v>4</v>
      </c>
      <c r="F116" s="3">
        <v>13.5</v>
      </c>
    </row>
    <row r="117" spans="1:6">
      <c r="A117" s="63">
        <v>46268</v>
      </c>
      <c r="B117" s="2" t="str">
        <f>TEXT(Transaction[[#This Row],[Date]], "dddd")</f>
        <v>Thursday</v>
      </c>
      <c r="C117" s="4" t="s">
        <v>22</v>
      </c>
      <c r="D117" t="s">
        <v>2</v>
      </c>
      <c r="F117" s="3">
        <v>12</v>
      </c>
    </row>
    <row r="118" spans="1:6">
      <c r="A118" s="63">
        <v>46269</v>
      </c>
      <c r="B118" s="2" t="str">
        <f>TEXT(Transaction[[#This Row],[Date]], "dddd")</f>
        <v>Friday</v>
      </c>
      <c r="C118" s="4" t="s">
        <v>22</v>
      </c>
      <c r="D118" t="s">
        <v>3</v>
      </c>
      <c r="F118" s="3">
        <v>6.9</v>
      </c>
    </row>
    <row r="119" spans="1:6">
      <c r="A119" s="63">
        <v>46269</v>
      </c>
      <c r="B119" s="2" t="str">
        <f>TEXT(Transaction[[#This Row],[Date]], "dddd")</f>
        <v>Friday</v>
      </c>
      <c r="C119" s="4" t="s">
        <v>22</v>
      </c>
      <c r="D119" t="s">
        <v>4</v>
      </c>
      <c r="F119" s="3">
        <v>7.9</v>
      </c>
    </row>
    <row r="120" spans="1:6">
      <c r="A120" s="63">
        <v>46269</v>
      </c>
      <c r="B120" s="2" t="str">
        <f>TEXT(Transaction[[#This Row],[Date]], "dddd")</f>
        <v>Friday</v>
      </c>
      <c r="C120" s="4" t="s">
        <v>22</v>
      </c>
      <c r="D120" t="s">
        <v>2</v>
      </c>
      <c r="F120" s="3">
        <v>15.5</v>
      </c>
    </row>
    <row r="121" spans="1:6">
      <c r="A121" s="63">
        <v>46269</v>
      </c>
      <c r="B121" s="2" t="str">
        <f>TEXT(Transaction[[#This Row],[Date]], "dddd")</f>
        <v>Friday</v>
      </c>
      <c r="C121" s="4" t="s">
        <v>22</v>
      </c>
      <c r="D121" t="s">
        <v>42</v>
      </c>
      <c r="F121" s="3">
        <v>5.2</v>
      </c>
    </row>
    <row r="122" spans="1:6">
      <c r="A122" s="63">
        <v>46269</v>
      </c>
      <c r="B122" s="2" t="str">
        <f>TEXT(Transaction[[#This Row],[Date]], "dddd")</f>
        <v>Friday</v>
      </c>
      <c r="C122" s="4" t="s">
        <v>22</v>
      </c>
      <c r="D122" t="s">
        <v>30</v>
      </c>
      <c r="F122" s="3">
        <v>5</v>
      </c>
    </row>
    <row r="123" spans="1:6">
      <c r="A123" s="63">
        <v>46270</v>
      </c>
      <c r="B123" s="2" t="str">
        <f>TEXT(Transaction[[#This Row],[Date]], "dddd")</f>
        <v>Saturday</v>
      </c>
      <c r="C123" s="4" t="s">
        <v>22</v>
      </c>
      <c r="D123" t="s">
        <v>4</v>
      </c>
      <c r="F123" s="3">
        <v>18.5</v>
      </c>
    </row>
    <row r="124" spans="1:6">
      <c r="A124" s="63">
        <v>46270</v>
      </c>
      <c r="B124" s="2" t="str">
        <f>TEXT(Transaction[[#This Row],[Date]], "dddd")</f>
        <v>Saturday</v>
      </c>
      <c r="C124" s="4" t="s">
        <v>22</v>
      </c>
      <c r="D124" t="s">
        <v>2</v>
      </c>
      <c r="F124" s="3">
        <v>17.5</v>
      </c>
    </row>
    <row r="125" spans="1:6">
      <c r="A125" s="63">
        <v>46271</v>
      </c>
      <c r="B125" s="2" t="str">
        <f>TEXT(Transaction[[#This Row],[Date]], "dddd")</f>
        <v>Sunday</v>
      </c>
      <c r="C125" s="4" t="s">
        <v>22</v>
      </c>
      <c r="D125" t="s">
        <v>4</v>
      </c>
      <c r="F125" s="3">
        <v>12.2</v>
      </c>
    </row>
    <row r="126" spans="1:6">
      <c r="A126" s="63">
        <v>46271</v>
      </c>
      <c r="B126" s="2" t="str">
        <f>TEXT(Transaction[[#This Row],[Date]], "dddd")</f>
        <v>Sunday</v>
      </c>
      <c r="C126" s="4" t="s">
        <v>22</v>
      </c>
      <c r="D126" t="s">
        <v>3</v>
      </c>
      <c r="F126" s="3">
        <v>12.7</v>
      </c>
    </row>
    <row r="127" spans="1:6">
      <c r="A127" s="63">
        <v>46271</v>
      </c>
      <c r="B127" s="2" t="str">
        <f>TEXT(Transaction[[#This Row],[Date]], "dddd")</f>
        <v>Sunday</v>
      </c>
      <c r="C127" s="4" t="s">
        <v>22</v>
      </c>
      <c r="D127" t="s">
        <v>30</v>
      </c>
      <c r="F127" s="3">
        <v>4</v>
      </c>
    </row>
    <row r="128" spans="1:6">
      <c r="A128" s="63">
        <v>46271</v>
      </c>
      <c r="B128" s="2" t="str">
        <f>TEXT(Transaction[[#This Row],[Date]], "dddd")</f>
        <v>Sunday</v>
      </c>
      <c r="C128" s="4" t="s">
        <v>11</v>
      </c>
      <c r="D128" t="s">
        <v>33</v>
      </c>
      <c r="F128" s="3">
        <v>220</v>
      </c>
    </row>
    <row r="129" spans="1:6">
      <c r="A129" s="63">
        <v>46271</v>
      </c>
      <c r="B129" s="2" t="str">
        <f>TEXT(Transaction[[#This Row],[Date]], "dddd")</f>
        <v>Sunday</v>
      </c>
      <c r="C129" s="4" t="s">
        <v>25</v>
      </c>
      <c r="D129" t="s">
        <v>21</v>
      </c>
      <c r="F129" s="3">
        <v>80</v>
      </c>
    </row>
    <row r="130" spans="1:6">
      <c r="A130" s="63">
        <v>46272</v>
      </c>
      <c r="B130" s="2" t="str">
        <f>TEXT(Transaction[[#This Row],[Date]], "dddd")</f>
        <v>Monday</v>
      </c>
      <c r="C130" s="4" t="s">
        <v>83</v>
      </c>
      <c r="D130" t="s">
        <v>36</v>
      </c>
      <c r="F130" s="3">
        <v>29.9</v>
      </c>
    </row>
    <row r="131" spans="1:6">
      <c r="A131" s="63">
        <v>46272</v>
      </c>
      <c r="B131" s="2" t="str">
        <f>TEXT(Transaction[[#This Row],[Date]], "dddd")</f>
        <v>Monday</v>
      </c>
      <c r="C131" s="4" t="s">
        <v>22</v>
      </c>
      <c r="D131" t="s">
        <v>3</v>
      </c>
      <c r="F131" s="3">
        <v>1.7</v>
      </c>
    </row>
    <row r="132" spans="1:6">
      <c r="A132" s="63">
        <v>46272</v>
      </c>
      <c r="B132" s="2" t="str">
        <f>TEXT(Transaction[[#This Row],[Date]], "dddd")</f>
        <v>Monday</v>
      </c>
      <c r="C132" s="4" t="s">
        <v>22</v>
      </c>
      <c r="D132" t="s">
        <v>4</v>
      </c>
      <c r="F132" s="3">
        <v>17.600000000000001</v>
      </c>
    </row>
    <row r="133" spans="1:6">
      <c r="A133" s="63">
        <v>46272</v>
      </c>
      <c r="B133" s="2" t="str">
        <f>TEXT(Transaction[[#This Row],[Date]], "dddd")</f>
        <v>Monday</v>
      </c>
      <c r="C133" s="4" t="s">
        <v>22</v>
      </c>
      <c r="D133" t="s">
        <v>2</v>
      </c>
      <c r="F133" s="3">
        <v>21.1</v>
      </c>
    </row>
    <row r="134" spans="1:6">
      <c r="A134" s="63">
        <v>46273</v>
      </c>
      <c r="B134" s="2" t="str">
        <f>TEXT(Transaction[[#This Row],[Date]], "dddd")</f>
        <v>Tuesday</v>
      </c>
      <c r="C134" s="4" t="s">
        <v>22</v>
      </c>
      <c r="D134" t="s">
        <v>3</v>
      </c>
      <c r="F134" s="3">
        <v>4.5</v>
      </c>
    </row>
    <row r="135" spans="1:6">
      <c r="A135" s="63">
        <v>46273</v>
      </c>
      <c r="B135" s="2" t="str">
        <f>TEXT(Transaction[[#This Row],[Date]], "dddd")</f>
        <v>Tuesday</v>
      </c>
      <c r="C135" s="4" t="s">
        <v>22</v>
      </c>
      <c r="D135" t="s">
        <v>4</v>
      </c>
      <c r="F135" s="3">
        <v>13.5</v>
      </c>
    </row>
    <row r="136" spans="1:6">
      <c r="A136" s="63">
        <v>46273</v>
      </c>
      <c r="B136" s="2" t="str">
        <f>TEXT(Transaction[[#This Row],[Date]], "dddd")</f>
        <v>Tuesday</v>
      </c>
      <c r="C136" s="4" t="s">
        <v>22</v>
      </c>
      <c r="D136" t="s">
        <v>2</v>
      </c>
      <c r="F136" s="3">
        <v>16.899999999999999</v>
      </c>
    </row>
    <row r="137" spans="1:6">
      <c r="A137" s="63">
        <v>46274</v>
      </c>
      <c r="B137" s="2" t="str">
        <f>TEXT(Transaction[[#This Row],[Date]], "dddd")</f>
        <v>Wednesday</v>
      </c>
      <c r="C137" s="4" t="s">
        <v>22</v>
      </c>
      <c r="D137" t="s">
        <v>46</v>
      </c>
      <c r="F137" s="3">
        <v>18.899999999999999</v>
      </c>
    </row>
    <row r="138" spans="1:6">
      <c r="A138" s="63">
        <v>46274</v>
      </c>
      <c r="B138" s="2" t="str">
        <f>TEXT(Transaction[[#This Row],[Date]], "dddd")</f>
        <v>Wednesday</v>
      </c>
      <c r="C138" s="4" t="s">
        <v>22</v>
      </c>
      <c r="D138" t="s">
        <v>2</v>
      </c>
      <c r="F138" s="3">
        <v>17.399999999999999</v>
      </c>
    </row>
    <row r="139" spans="1:6">
      <c r="A139" s="63">
        <v>46275</v>
      </c>
      <c r="B139" s="2" t="str">
        <f>TEXT(Transaction[[#This Row],[Date]], "dddd")</f>
        <v>Thursday</v>
      </c>
      <c r="C139" s="4" t="s">
        <v>22</v>
      </c>
      <c r="D139" t="s">
        <v>46</v>
      </c>
      <c r="F139" s="3">
        <v>14.3</v>
      </c>
    </row>
    <row r="140" spans="1:6">
      <c r="A140" s="63">
        <v>46275</v>
      </c>
      <c r="B140" s="2" t="str">
        <f>TEXT(Transaction[[#This Row],[Date]], "dddd")</f>
        <v>Thursday</v>
      </c>
      <c r="C140" s="4" t="s">
        <v>22</v>
      </c>
      <c r="D140" t="s">
        <v>2</v>
      </c>
      <c r="F140" s="3">
        <v>25</v>
      </c>
    </row>
    <row r="141" spans="1:6">
      <c r="A141" s="63">
        <v>46276</v>
      </c>
      <c r="B141" s="2" t="str">
        <f>TEXT(Transaction[[#This Row],[Date]], "dddd")</f>
        <v>Friday</v>
      </c>
      <c r="C141" s="4" t="s">
        <v>22</v>
      </c>
      <c r="D141" t="s">
        <v>4</v>
      </c>
      <c r="F141" s="3">
        <v>10</v>
      </c>
    </row>
    <row r="142" spans="1:6">
      <c r="A142" s="63">
        <v>46276</v>
      </c>
      <c r="B142" s="2" t="str">
        <f>TEXT(Transaction[[#This Row],[Date]], "dddd")</f>
        <v>Friday</v>
      </c>
      <c r="C142" s="4" t="s">
        <v>22</v>
      </c>
      <c r="D142" t="s">
        <v>2</v>
      </c>
      <c r="F142" s="3">
        <v>16.7</v>
      </c>
    </row>
    <row r="143" spans="1:6">
      <c r="A143" s="63">
        <v>46276</v>
      </c>
      <c r="B143" s="2" t="str">
        <f>TEXT(Transaction[[#This Row],[Date]], "dddd")</f>
        <v>Friday</v>
      </c>
      <c r="C143" s="4" t="s">
        <v>22</v>
      </c>
      <c r="D143" t="s">
        <v>42</v>
      </c>
      <c r="F143" s="3">
        <v>7.7</v>
      </c>
    </row>
    <row r="144" spans="1:6">
      <c r="A144" s="63">
        <v>46277</v>
      </c>
      <c r="B144" s="2" t="str">
        <f>TEXT(Transaction[[#This Row],[Date]], "dddd")</f>
        <v>Saturday</v>
      </c>
      <c r="C144" s="4" t="s">
        <v>22</v>
      </c>
      <c r="D144" t="s">
        <v>3</v>
      </c>
      <c r="F144" s="3">
        <v>6.6</v>
      </c>
    </row>
    <row r="145" spans="1:6">
      <c r="A145" s="63">
        <v>46277</v>
      </c>
      <c r="B145" s="2" t="str">
        <f>TEXT(Transaction[[#This Row],[Date]], "dddd")</f>
        <v>Saturday</v>
      </c>
      <c r="C145" s="4" t="s">
        <v>22</v>
      </c>
      <c r="D145" t="s">
        <v>4</v>
      </c>
      <c r="F145" s="3">
        <v>18.5</v>
      </c>
    </row>
    <row r="146" spans="1:6">
      <c r="A146" s="63">
        <v>46277</v>
      </c>
      <c r="B146" s="2" t="str">
        <f>TEXT(Transaction[[#This Row],[Date]], "dddd")</f>
        <v>Saturday</v>
      </c>
      <c r="C146" s="4" t="s">
        <v>22</v>
      </c>
      <c r="D146" t="s">
        <v>2</v>
      </c>
      <c r="F146" s="3">
        <v>15</v>
      </c>
    </row>
    <row r="147" spans="1:6">
      <c r="A147" s="63">
        <v>46277</v>
      </c>
      <c r="B147" s="2" t="str">
        <f>TEXT(Transaction[[#This Row],[Date]], "dddd")</f>
        <v>Saturday</v>
      </c>
      <c r="C147" s="4" t="s">
        <v>13</v>
      </c>
      <c r="D147" t="s">
        <v>40</v>
      </c>
      <c r="E147" t="s">
        <v>74</v>
      </c>
      <c r="F147" s="3">
        <v>4.5999999999999996</v>
      </c>
    </row>
    <row r="148" spans="1:6">
      <c r="A148" s="63">
        <v>46277</v>
      </c>
      <c r="B148" s="2" t="str">
        <f>TEXT(Transaction[[#This Row],[Date]], "dddd")</f>
        <v>Saturday</v>
      </c>
      <c r="C148" s="4" t="s">
        <v>13</v>
      </c>
      <c r="D148" t="s">
        <v>40</v>
      </c>
      <c r="E148" t="s">
        <v>73</v>
      </c>
      <c r="F148" s="3">
        <v>9.9</v>
      </c>
    </row>
    <row r="149" spans="1:6">
      <c r="A149" s="63">
        <v>46277</v>
      </c>
      <c r="B149" s="2" t="str">
        <f>TEXT(Transaction[[#This Row],[Date]], "dddd")</f>
        <v>Saturday</v>
      </c>
      <c r="C149" s="4" t="s">
        <v>13</v>
      </c>
      <c r="D149" t="s">
        <v>40</v>
      </c>
      <c r="E149" t="s">
        <v>72</v>
      </c>
      <c r="F149" s="3">
        <v>25</v>
      </c>
    </row>
    <row r="150" spans="1:6">
      <c r="A150" s="63">
        <v>46277</v>
      </c>
      <c r="B150" s="2" t="str">
        <f>TEXT(Transaction[[#This Row],[Date]], "dddd")</f>
        <v>Saturday</v>
      </c>
      <c r="C150" s="4" t="s">
        <v>13</v>
      </c>
      <c r="D150" t="s">
        <v>40</v>
      </c>
      <c r="E150" t="s">
        <v>75</v>
      </c>
      <c r="F150" s="3">
        <v>7.9</v>
      </c>
    </row>
    <row r="151" spans="1:6">
      <c r="A151" s="63">
        <v>46278</v>
      </c>
      <c r="B151" s="2" t="str">
        <f>TEXT(Transaction[[#This Row],[Date]], "dddd")</f>
        <v>Sunday</v>
      </c>
      <c r="C151" s="4" t="s">
        <v>22</v>
      </c>
      <c r="D151" t="s">
        <v>3</v>
      </c>
      <c r="F151" s="3">
        <v>19.5</v>
      </c>
    </row>
    <row r="152" spans="1:6">
      <c r="A152" s="63">
        <v>46278</v>
      </c>
      <c r="B152" s="2" t="str">
        <f>TEXT(Transaction[[#This Row],[Date]], "dddd")</f>
        <v>Sunday</v>
      </c>
      <c r="C152" s="4" t="s">
        <v>22</v>
      </c>
      <c r="D152" t="s">
        <v>4</v>
      </c>
      <c r="F152" s="3">
        <v>12.8</v>
      </c>
    </row>
    <row r="153" spans="1:6">
      <c r="A153" s="63">
        <v>46278</v>
      </c>
      <c r="B153" s="2" t="str">
        <f>TEXT(Transaction[[#This Row],[Date]], "dddd")</f>
        <v>Sunday</v>
      </c>
      <c r="C153" s="4" t="s">
        <v>22</v>
      </c>
      <c r="D153" t="s">
        <v>2</v>
      </c>
      <c r="F153" s="3">
        <v>12.6</v>
      </c>
    </row>
    <row r="154" spans="1:6">
      <c r="A154" s="63">
        <v>46278</v>
      </c>
      <c r="B154" s="2" t="str">
        <f>TEXT(Transaction[[#This Row],[Date]], "dddd")</f>
        <v>Sunday</v>
      </c>
      <c r="C154" s="4" t="s">
        <v>22</v>
      </c>
      <c r="D154" t="s">
        <v>30</v>
      </c>
      <c r="F154" s="3">
        <v>7.7</v>
      </c>
    </row>
    <row r="155" spans="1:6">
      <c r="A155" s="63">
        <v>46278</v>
      </c>
      <c r="B155" s="2" t="str">
        <f>TEXT(Transaction[[#This Row],[Date]], "dddd")</f>
        <v>Sunday</v>
      </c>
      <c r="C155" s="4" t="s">
        <v>8</v>
      </c>
      <c r="D155" t="s">
        <v>15</v>
      </c>
      <c r="F155" s="3">
        <v>51.5</v>
      </c>
    </row>
    <row r="156" spans="1:6">
      <c r="A156" s="63">
        <v>46279</v>
      </c>
      <c r="B156" s="2" t="str">
        <f>TEXT(Transaction[[#This Row],[Date]], "dddd")</f>
        <v>Monday</v>
      </c>
      <c r="C156" s="4" t="s">
        <v>22</v>
      </c>
      <c r="D156" t="s">
        <v>4</v>
      </c>
      <c r="F156" s="3">
        <v>13.3</v>
      </c>
    </row>
    <row r="157" spans="1:6">
      <c r="A157" s="63">
        <v>46279</v>
      </c>
      <c r="B157" s="2" t="str">
        <f>TEXT(Transaction[[#This Row],[Date]], "dddd")</f>
        <v>Monday</v>
      </c>
      <c r="C157" s="4" t="s">
        <v>22</v>
      </c>
      <c r="D157" t="s">
        <v>2</v>
      </c>
      <c r="F157" s="3">
        <v>9.9</v>
      </c>
    </row>
    <row r="158" spans="1:6">
      <c r="A158" s="63">
        <v>46280</v>
      </c>
      <c r="B158" s="2" t="str">
        <f>TEXT(Transaction[[#This Row],[Date]], "dddd")</f>
        <v>Tuesday</v>
      </c>
      <c r="C158" s="4" t="s">
        <v>22</v>
      </c>
      <c r="D158" t="s">
        <v>46</v>
      </c>
      <c r="F158" s="3">
        <v>18.899999999999999</v>
      </c>
    </row>
    <row r="159" spans="1:6">
      <c r="A159" s="63">
        <v>46280</v>
      </c>
      <c r="B159" s="2" t="str">
        <f>TEXT(Transaction[[#This Row],[Date]], "dddd")</f>
        <v>Tuesday</v>
      </c>
      <c r="C159" s="4" t="s">
        <v>22</v>
      </c>
      <c r="D159" t="s">
        <v>2</v>
      </c>
      <c r="F159" s="3">
        <v>30</v>
      </c>
    </row>
    <row r="160" spans="1:6">
      <c r="A160" s="63">
        <v>46281</v>
      </c>
      <c r="B160" s="2" t="str">
        <f>TEXT(Transaction[[#This Row],[Date]], "dddd")</f>
        <v>Wednesday</v>
      </c>
      <c r="C160" s="4" t="s">
        <v>22</v>
      </c>
      <c r="D160" t="s">
        <v>4</v>
      </c>
      <c r="F160" s="3">
        <v>15</v>
      </c>
    </row>
    <row r="161" spans="1:6">
      <c r="A161" s="63">
        <v>46281</v>
      </c>
      <c r="B161" s="2" t="str">
        <f>TEXT(Transaction[[#This Row],[Date]], "dddd")</f>
        <v>Wednesday</v>
      </c>
      <c r="C161" s="4" t="s">
        <v>22</v>
      </c>
      <c r="D161" t="s">
        <v>2</v>
      </c>
      <c r="F161" s="3">
        <v>18.28</v>
      </c>
    </row>
    <row r="162" spans="1:6">
      <c r="A162" s="63">
        <v>46281</v>
      </c>
      <c r="B162" s="2" t="str">
        <f>TEXT(Transaction[[#This Row],[Date]], "dddd")</f>
        <v>Wednesday</v>
      </c>
      <c r="C162" s="4" t="s">
        <v>8</v>
      </c>
      <c r="D162" t="s">
        <v>16</v>
      </c>
      <c r="F162" s="3">
        <v>1</v>
      </c>
    </row>
    <row r="163" spans="1:6">
      <c r="A163" s="63">
        <v>46282</v>
      </c>
      <c r="B163" s="2" t="str">
        <f>TEXT(Transaction[[#This Row],[Date]], "dddd")</f>
        <v>Thursday</v>
      </c>
      <c r="C163" s="4" t="s">
        <v>22</v>
      </c>
      <c r="D163" t="s">
        <v>46</v>
      </c>
      <c r="F163" s="3">
        <v>15.3</v>
      </c>
    </row>
    <row r="164" spans="1:6">
      <c r="A164" s="63">
        <v>46282</v>
      </c>
      <c r="B164" s="2" t="str">
        <f>TEXT(Transaction[[#This Row],[Date]], "dddd")</f>
        <v>Thursday</v>
      </c>
      <c r="C164" s="4" t="s">
        <v>22</v>
      </c>
      <c r="D164" t="s">
        <v>2</v>
      </c>
      <c r="F164" s="3">
        <v>21.7</v>
      </c>
    </row>
    <row r="165" spans="1:6">
      <c r="A165" s="63">
        <v>46282</v>
      </c>
      <c r="B165" s="2" t="str">
        <f>TEXT(Transaction[[#This Row],[Date]], "dddd")</f>
        <v>Thursday</v>
      </c>
      <c r="C165" s="4" t="s">
        <v>83</v>
      </c>
      <c r="D165" t="s">
        <v>48</v>
      </c>
      <c r="F165" s="3">
        <v>10</v>
      </c>
    </row>
    <row r="166" spans="1:6">
      <c r="A166" s="63">
        <v>46282</v>
      </c>
      <c r="B166" s="2" t="str">
        <f>TEXT(Transaction[[#This Row],[Date]], "dddd")</f>
        <v>Thursday</v>
      </c>
      <c r="C166" s="4" t="s">
        <v>25</v>
      </c>
      <c r="D166" t="s">
        <v>19</v>
      </c>
      <c r="F166" s="3">
        <v>7.15</v>
      </c>
    </row>
    <row r="167" spans="1:6">
      <c r="A167" s="63">
        <v>46283</v>
      </c>
      <c r="B167" s="2" t="str">
        <f>TEXT(Transaction[[#This Row],[Date]], "dddd")</f>
        <v>Friday</v>
      </c>
      <c r="C167" s="4" t="s">
        <v>22</v>
      </c>
      <c r="D167" t="s">
        <v>26</v>
      </c>
      <c r="F167" s="3">
        <v>1.6</v>
      </c>
    </row>
    <row r="168" spans="1:6">
      <c r="A168" s="63">
        <v>46283</v>
      </c>
      <c r="B168" s="2" t="str">
        <f>TEXT(Transaction[[#This Row],[Date]], "dddd")</f>
        <v>Friday</v>
      </c>
      <c r="C168" s="4" t="s">
        <v>22</v>
      </c>
      <c r="D168" t="s">
        <v>4</v>
      </c>
      <c r="F168" s="3">
        <v>10</v>
      </c>
    </row>
    <row r="169" spans="1:6">
      <c r="A169" s="63">
        <v>46283</v>
      </c>
      <c r="B169" s="2" t="str">
        <f>TEXT(Transaction[[#This Row],[Date]], "dddd")</f>
        <v>Friday</v>
      </c>
      <c r="C169" s="4" t="s">
        <v>22</v>
      </c>
      <c r="D169" t="s">
        <v>2</v>
      </c>
      <c r="F169" s="3">
        <v>13.5</v>
      </c>
    </row>
    <row r="170" spans="1:6">
      <c r="A170" s="63">
        <v>46284</v>
      </c>
      <c r="B170" s="2" t="str">
        <f>TEXT(Transaction[[#This Row],[Date]], "dddd")</f>
        <v>Saturday</v>
      </c>
      <c r="C170" s="4" t="s">
        <v>22</v>
      </c>
      <c r="D170" t="s">
        <v>3</v>
      </c>
      <c r="F170" s="3">
        <v>17.3</v>
      </c>
    </row>
    <row r="171" spans="1:6">
      <c r="A171" s="63">
        <v>46284</v>
      </c>
      <c r="B171" s="2" t="str">
        <f>TEXT(Transaction[[#This Row],[Date]], "dddd")</f>
        <v>Saturday</v>
      </c>
      <c r="C171" s="4" t="s">
        <v>22</v>
      </c>
      <c r="D171" t="s">
        <v>4</v>
      </c>
      <c r="F171" s="3">
        <v>10</v>
      </c>
    </row>
    <row r="172" spans="1:6">
      <c r="A172" s="63">
        <v>46284</v>
      </c>
      <c r="B172" s="2" t="str">
        <f>TEXT(Transaction[[#This Row],[Date]], "dddd")</f>
        <v>Saturday</v>
      </c>
      <c r="C172" s="4" t="s">
        <v>9</v>
      </c>
      <c r="D172" t="s">
        <v>31</v>
      </c>
      <c r="F172" s="3">
        <v>52</v>
      </c>
    </row>
    <row r="173" spans="1:6">
      <c r="A173" s="63">
        <v>46284</v>
      </c>
      <c r="B173" s="2" t="str">
        <f>TEXT(Transaction[[#This Row],[Date]], "dddd")</f>
        <v>Saturday</v>
      </c>
      <c r="C173" s="4" t="s">
        <v>9</v>
      </c>
      <c r="D173" t="s">
        <v>76</v>
      </c>
      <c r="F173" s="3">
        <v>58</v>
      </c>
    </row>
  </sheetData>
  <phoneticPr fontId="3" type="noConversion"/>
  <dataValidations count="2">
    <dataValidation type="list" allowBlank="1" showInputMessage="1" showErrorMessage="1" sqref="C2:C1048576" xr:uid="{6370F0F9-AB92-4C1F-8F15-A4054A8107A5}">
      <formula1>Main_Category</formula1>
    </dataValidation>
    <dataValidation type="list" allowBlank="1" showInputMessage="1" showErrorMessage="1" sqref="D2:D1048576" xr:uid="{AA55F905-8216-423F-9D0A-42E6F16FFAA2}">
      <formula1>INDIRECT($C2)</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0016A-84D5-4F1A-A2DC-511506E8C807}">
  <sheetPr codeName="Sheet4"/>
  <dimension ref="A1:K11"/>
  <sheetViews>
    <sheetView workbookViewId="0">
      <selection activeCell="C2" sqref="C2:C6"/>
    </sheetView>
  </sheetViews>
  <sheetFormatPr defaultRowHeight="15"/>
  <cols>
    <col min="1" max="1" width="18.28515625" customWidth="1"/>
    <col min="2" max="2" width="16.5703125" customWidth="1"/>
    <col min="3" max="3" width="17" customWidth="1"/>
    <col min="4" max="4" width="16.28515625" customWidth="1"/>
    <col min="5" max="5" width="12.140625" customWidth="1"/>
    <col min="6" max="6" width="21.28515625" customWidth="1"/>
    <col min="7" max="7" width="14.5703125" customWidth="1"/>
    <col min="8" max="8" width="16" customWidth="1"/>
    <col min="9" max="9" width="14.85546875" customWidth="1"/>
    <col min="10" max="10" width="13.7109375" customWidth="1"/>
    <col min="11" max="11" width="14.28515625" customWidth="1"/>
  </cols>
  <sheetData>
    <row r="1" spans="1:11">
      <c r="A1" t="s">
        <v>7</v>
      </c>
      <c r="B1" t="s">
        <v>22</v>
      </c>
      <c r="C1" t="s">
        <v>8</v>
      </c>
      <c r="D1" t="s">
        <v>25</v>
      </c>
      <c r="E1" t="s">
        <v>9</v>
      </c>
      <c r="F1" t="s">
        <v>83</v>
      </c>
      <c r="G1" t="s">
        <v>10</v>
      </c>
      <c r="H1" t="s">
        <v>11</v>
      </c>
      <c r="I1" t="s">
        <v>12</v>
      </c>
      <c r="J1" t="s">
        <v>13</v>
      </c>
      <c r="K1" t="s">
        <v>14</v>
      </c>
    </row>
    <row r="2" spans="1:11">
      <c r="A2" t="s">
        <v>22</v>
      </c>
      <c r="B2" t="s">
        <v>3</v>
      </c>
      <c r="C2" t="s">
        <v>15</v>
      </c>
      <c r="D2" t="s">
        <v>19</v>
      </c>
      <c r="E2" t="s">
        <v>31</v>
      </c>
      <c r="F2" t="s">
        <v>35</v>
      </c>
      <c r="G2" t="s">
        <v>38</v>
      </c>
      <c r="H2" t="s">
        <v>33</v>
      </c>
      <c r="I2" t="s">
        <v>34</v>
      </c>
      <c r="J2" t="s">
        <v>40</v>
      </c>
      <c r="K2" t="s">
        <v>32</v>
      </c>
    </row>
    <row r="3" spans="1:11">
      <c r="A3" t="s">
        <v>8</v>
      </c>
      <c r="B3" t="s">
        <v>4</v>
      </c>
      <c r="C3" t="s">
        <v>16</v>
      </c>
      <c r="D3" t="s">
        <v>20</v>
      </c>
      <c r="E3" t="s">
        <v>76</v>
      </c>
      <c r="F3" t="s">
        <v>36</v>
      </c>
      <c r="G3" t="s">
        <v>39</v>
      </c>
      <c r="J3" t="s">
        <v>47</v>
      </c>
    </row>
    <row r="4" spans="1:11">
      <c r="A4" t="s">
        <v>25</v>
      </c>
      <c r="B4" t="s">
        <v>2</v>
      </c>
      <c r="C4" t="s">
        <v>17</v>
      </c>
      <c r="D4" t="s">
        <v>21</v>
      </c>
      <c r="F4" t="s">
        <v>37</v>
      </c>
      <c r="G4" t="s">
        <v>45</v>
      </c>
    </row>
    <row r="5" spans="1:11">
      <c r="A5" t="s">
        <v>9</v>
      </c>
      <c r="B5" t="s">
        <v>24</v>
      </c>
      <c r="C5" t="s">
        <v>18</v>
      </c>
      <c r="D5" t="s">
        <v>44</v>
      </c>
      <c r="F5" t="s">
        <v>48</v>
      </c>
    </row>
    <row r="6" spans="1:11">
      <c r="A6" t="s">
        <v>83</v>
      </c>
      <c r="B6" t="s">
        <v>26</v>
      </c>
      <c r="C6" t="s">
        <v>79</v>
      </c>
    </row>
    <row r="7" spans="1:11">
      <c r="A7" t="s">
        <v>10</v>
      </c>
      <c r="B7" t="s">
        <v>30</v>
      </c>
    </row>
    <row r="8" spans="1:11">
      <c r="A8" t="s">
        <v>11</v>
      </c>
      <c r="B8" t="s">
        <v>42</v>
      </c>
    </row>
    <row r="9" spans="1:11">
      <c r="A9" t="s">
        <v>12</v>
      </c>
      <c r="B9" t="s">
        <v>46</v>
      </c>
    </row>
    <row r="10" spans="1:11">
      <c r="A10" t="s">
        <v>13</v>
      </c>
    </row>
    <row r="11" spans="1:11">
      <c r="A1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Dashboard</vt:lpstr>
      <vt:lpstr>Savings</vt:lpstr>
      <vt:lpstr>Transaction</vt:lpstr>
      <vt:lpstr>Lookup</vt:lpstr>
      <vt:lpstr>Entertainment</vt:lpstr>
      <vt:lpstr>Food</vt:lpstr>
      <vt:lpstr>Health</vt:lpstr>
      <vt:lpstr>Home_Bills</vt:lpstr>
      <vt:lpstr>Main_Category</vt:lpstr>
      <vt:lpstr>Others</vt:lpstr>
      <vt:lpstr>Own_Interest</vt:lpstr>
      <vt:lpstr>Self_care</vt:lpstr>
      <vt:lpstr>Shopping</vt:lpstr>
      <vt:lpstr>Subscription</vt:lpstr>
      <vt:lpstr>Transport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CHEW SHEN</dc:creator>
  <cp:lastModifiedBy>CHEW SHEN</cp:lastModifiedBy>
  <dcterms:created xsi:type="dcterms:W3CDTF">2026-08-29T16:21:25Z</dcterms:created>
  <dcterms:modified xsi:type="dcterms:W3CDTF">2026-09-19T12:28:54Z</dcterms:modified>
</cp:coreProperties>
</file>